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laned\Documents\Cours EP360\"/>
    </mc:Choice>
  </mc:AlternateContent>
  <xr:revisionPtr revIDLastSave="0" documentId="8_{4A8D7E8C-D7E6-4072-AC57-2451E23AC998}" xr6:coauthVersionLast="36" xr6:coauthVersionMax="36" xr10:uidLastSave="{00000000-0000-0000-0000-000000000000}"/>
  <bookViews>
    <workbookView xWindow="0" yWindow="0" windowWidth="23040" windowHeight="8940" xr2:uid="{75BAB1E2-47A2-43CD-9961-E8CCAE2328B8}"/>
  </bookViews>
  <sheets>
    <sheet name="3A" sheetId="1" r:id="rId1"/>
  </sheets>
  <definedNames>
    <definedName name="_xlnm._FilterDatabase" localSheetId="0" hidden="1">'3A'!$A$5:$L$92</definedName>
    <definedName name="Z_5138C996_BC2A_4E48_B62D_8E804C73D34F_.wvu.FilterData" localSheetId="0" hidden="1">'3A'!$A$5:$L$10</definedName>
    <definedName name="Z_5789DC22_7DAC_4FB8_87AF_BF9DE6250797_.wvu.FilterData" localSheetId="0" hidden="1">'3A'!$A$5:$L$47</definedName>
    <definedName name="Z_722357A5_FB59_4783_9DAF_5A27707BF8C3_.wvu.FilterData" localSheetId="0" hidden="1">'3A'!$A$5:$L$47</definedName>
    <definedName name="Z_7E444255_C04E_459E_93B0_8B5C48BC3254_.wvu.FilterData" localSheetId="0" hidden="1">'3A'!$A$5:$L$10</definedName>
    <definedName name="Z_8FD8A64B_4075_4CF7_94AC_C2603B6B1505_.wvu.FilterData" localSheetId="0" hidden="1">'3A'!$A$5:$L$47</definedName>
    <definedName name="Z_8FD8A64B_4075_4CF7_94AC_C2603B6B1505_.wvu.PrintArea" localSheetId="0" hidden="1">'3A'!$A$1:$L$53</definedName>
    <definedName name="Z_A8160EB8_51B6_42B3_8444_3BFD0E1797EC_.wvu.FilterData" localSheetId="0" hidden="1">'3A'!$A$5:$L$47</definedName>
    <definedName name="Z_B8DDC882_4F66_476D_B465_B1A874BC4782_.wvu.FilterData" localSheetId="0" hidden="1">'3A'!$A$5:$L$47</definedName>
    <definedName name="Z_B8DDC882_4F66_476D_B465_B1A874BC4782_.wvu.PrintArea" localSheetId="0" hidden="1">'3A'!$A$1:$L$53</definedName>
    <definedName name="_xlnm.Print_Area" localSheetId="0">'3A'!$A$1:$L$91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91" i="1" l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L4" i="1"/>
</calcChain>
</file>

<file path=xl/sharedStrings.xml><?xml version="1.0" encoding="utf-8"?>
<sst xmlns="http://schemas.openxmlformats.org/spreadsheetml/2006/main" count="454" uniqueCount="194">
  <si>
    <t>ESISAR</t>
  </si>
  <si>
    <t>3A - PROMOTION 2028</t>
  </si>
  <si>
    <t>3A - P2028</t>
  </si>
  <si>
    <t>Année scolaire 2025-2026</t>
  </si>
  <si>
    <t>N° étudiant</t>
  </si>
  <si>
    <t>Nom_Prénom</t>
  </si>
  <si>
    <t>Nom</t>
  </si>
  <si>
    <t>Prénom</t>
  </si>
  <si>
    <t>Origine</t>
  </si>
  <si>
    <t>Infos</t>
  </si>
  <si>
    <t>Groupe TD</t>
  </si>
  <si>
    <t>Groupe TP</t>
  </si>
  <si>
    <t>Note/20</t>
  </si>
  <si>
    <t>APPRÉCIATION</t>
  </si>
  <si>
    <t xml:space="preserve"> </t>
  </si>
  <si>
    <t>ACOSTA</t>
  </si>
  <si>
    <t>Baptiste</t>
  </si>
  <si>
    <t>TD1</t>
  </si>
  <si>
    <t>TP1</t>
  </si>
  <si>
    <t>ADEBOWALE</t>
  </si>
  <si>
    <t>Abdoulaye</t>
  </si>
  <si>
    <t>ALKHALDI</t>
  </si>
  <si>
    <t>Adam</t>
  </si>
  <si>
    <t>ASTIER</t>
  </si>
  <si>
    <t>Titouan</t>
  </si>
  <si>
    <t>Esisar</t>
  </si>
  <si>
    <t>BABY</t>
  </si>
  <si>
    <t>Siméo</t>
  </si>
  <si>
    <t>BALDE</t>
  </si>
  <si>
    <t>BALIGH</t>
  </si>
  <si>
    <t>Hussein Ahmed Ayman</t>
  </si>
  <si>
    <t>BARDEY</t>
  </si>
  <si>
    <t>Félix</t>
  </si>
  <si>
    <t>BASBAYON</t>
  </si>
  <si>
    <t>Rémi</t>
  </si>
  <si>
    <t>BEC-CLEMENTE</t>
  </si>
  <si>
    <t>Elio</t>
  </si>
  <si>
    <t>BELHOUCINE</t>
  </si>
  <si>
    <t>Jade</t>
  </si>
  <si>
    <t>BENGAOUA</t>
  </si>
  <si>
    <t>Sarah</t>
  </si>
  <si>
    <t>BERLIOZ</t>
  </si>
  <si>
    <t>Robbie</t>
  </si>
  <si>
    <t>BOITET</t>
  </si>
  <si>
    <t>Hugo</t>
  </si>
  <si>
    <t>BOUZZO</t>
  </si>
  <si>
    <t>Tristan</t>
  </si>
  <si>
    <t>TP2</t>
  </si>
  <si>
    <t>BREDEVILLE</t>
  </si>
  <si>
    <t>Lila</t>
  </si>
  <si>
    <t>1/3tps</t>
  </si>
  <si>
    <t>BREDIN</t>
  </si>
  <si>
    <t>Lucie</t>
  </si>
  <si>
    <t>BROSSAT</t>
  </si>
  <si>
    <t>Robin</t>
  </si>
  <si>
    <t>CARLINI</t>
  </si>
  <si>
    <t>Quentin</t>
  </si>
  <si>
    <t>CHAHORY</t>
  </si>
  <si>
    <t>CHARTON</t>
  </si>
  <si>
    <t>Théo</t>
  </si>
  <si>
    <t>CHEVAL</t>
  </si>
  <si>
    <t>Lubin</t>
  </si>
  <si>
    <t>CLAVEL</t>
  </si>
  <si>
    <t>Antoine</t>
  </si>
  <si>
    <t>COGAN</t>
  </si>
  <si>
    <t>Amaury</t>
  </si>
  <si>
    <t>COLLIGNON</t>
  </si>
  <si>
    <t>Benjamin</t>
  </si>
  <si>
    <t>COLOMBON</t>
  </si>
  <si>
    <t>Maxime</t>
  </si>
  <si>
    <t>COSTE</t>
  </si>
  <si>
    <t>Clément</t>
  </si>
  <si>
    <t>COURTOIS</t>
  </si>
  <si>
    <t>Maxance</t>
  </si>
  <si>
    <t>D'ABRESCIA--BOUTEMY</t>
  </si>
  <si>
    <t>Alexandre</t>
  </si>
  <si>
    <t>TD2</t>
  </si>
  <si>
    <t>TP3</t>
  </si>
  <si>
    <t>DARMET</t>
  </si>
  <si>
    <t>Enguerran</t>
  </si>
  <si>
    <t>DE BAST</t>
  </si>
  <si>
    <t>Sofiane</t>
  </si>
  <si>
    <t>DECOMBLE</t>
  </si>
  <si>
    <t>DETRAZ</t>
  </si>
  <si>
    <t>Camille</t>
  </si>
  <si>
    <t>CPGE MP</t>
  </si>
  <si>
    <t>CE 24/25</t>
  </si>
  <si>
    <t>DHIVERT</t>
  </si>
  <si>
    <t>DIENNE</t>
  </si>
  <si>
    <t>DUBOULOZ</t>
  </si>
  <si>
    <t>Jules</t>
  </si>
  <si>
    <t>ECH-CHKOUBI</t>
  </si>
  <si>
    <t>Mohamed</t>
  </si>
  <si>
    <t>CPGE PSI</t>
  </si>
  <si>
    <t>EL KADOUSSI</t>
  </si>
  <si>
    <t>Imrane</t>
  </si>
  <si>
    <t>EL OUANSAIDI</t>
  </si>
  <si>
    <t>Ilyass</t>
  </si>
  <si>
    <t>ESTEBAN</t>
  </si>
  <si>
    <t>FIEVRE</t>
  </si>
  <si>
    <t>Simon</t>
  </si>
  <si>
    <t>FLAVEN</t>
  </si>
  <si>
    <t>Thomas</t>
  </si>
  <si>
    <t>FRETWELL</t>
  </si>
  <si>
    <t>Romain</t>
  </si>
  <si>
    <t>GOMEZ</t>
  </si>
  <si>
    <t>GOUZERCH</t>
  </si>
  <si>
    <t>Louis</t>
  </si>
  <si>
    <t>TP4</t>
  </si>
  <si>
    <t>GUESDON</t>
  </si>
  <si>
    <t>Etienne</t>
  </si>
  <si>
    <t>GUFFON</t>
  </si>
  <si>
    <t>Damien</t>
  </si>
  <si>
    <t>HOCQUELOUX</t>
  </si>
  <si>
    <t>Jean-Félix</t>
  </si>
  <si>
    <t>HODOUL</t>
  </si>
  <si>
    <t>Pierrick</t>
  </si>
  <si>
    <t>HUMEZ</t>
  </si>
  <si>
    <t>Grégoire</t>
  </si>
  <si>
    <t>JACQUÉ</t>
  </si>
  <si>
    <t>Mathieu</t>
  </si>
  <si>
    <t>JOURDAN</t>
  </si>
  <si>
    <t>Lois</t>
  </si>
  <si>
    <t>KARA</t>
  </si>
  <si>
    <t>LACOURPAILLE</t>
  </si>
  <si>
    <t>LAROCHE</t>
  </si>
  <si>
    <t>César</t>
  </si>
  <si>
    <t>LE CORNET</t>
  </si>
  <si>
    <t>Roméo</t>
  </si>
  <si>
    <t>LEAUTIER</t>
  </si>
  <si>
    <t>Alban</t>
  </si>
  <si>
    <t>LESAGE</t>
  </si>
  <si>
    <t>LESPOUR</t>
  </si>
  <si>
    <t>TD3</t>
  </si>
  <si>
    <t>TP5</t>
  </si>
  <si>
    <t>LOPEZ</t>
  </si>
  <si>
    <t>Julie</t>
  </si>
  <si>
    <t>LY</t>
  </si>
  <si>
    <t>Brian</t>
  </si>
  <si>
    <t>MAHAN</t>
  </si>
  <si>
    <t>Blesson Ange Duvall</t>
  </si>
  <si>
    <t>Prépa Abidjian</t>
  </si>
  <si>
    <t>MAHJOUB</t>
  </si>
  <si>
    <t>Nour</t>
  </si>
  <si>
    <t>MILLER-CELESTE</t>
  </si>
  <si>
    <t>MOURÉ</t>
  </si>
  <si>
    <t>MOUSSET</t>
  </si>
  <si>
    <t>MOYROUD</t>
  </si>
  <si>
    <t>Auriane</t>
  </si>
  <si>
    <t>MSALLEM</t>
  </si>
  <si>
    <t>Abdel-Heidi</t>
  </si>
  <si>
    <t>NADI</t>
  </si>
  <si>
    <t>Ahmedou</t>
  </si>
  <si>
    <t>NOWAK--LASSIMOULIE</t>
  </si>
  <si>
    <t>PANNETIER</t>
  </si>
  <si>
    <t>Nathan</t>
  </si>
  <si>
    <t>PATOUX</t>
  </si>
  <si>
    <t>TP6</t>
  </si>
  <si>
    <t>PIERRE</t>
  </si>
  <si>
    <t>Elliot</t>
  </si>
  <si>
    <t>QADRI</t>
  </si>
  <si>
    <t>Hafsa</t>
  </si>
  <si>
    <t>QUENIN</t>
  </si>
  <si>
    <t>Bastien</t>
  </si>
  <si>
    <t>ROCHE</t>
  </si>
  <si>
    <t>Thibault</t>
  </si>
  <si>
    <t>CPGE PT</t>
  </si>
  <si>
    <t>ROUJOL</t>
  </si>
  <si>
    <t>Mathis</t>
  </si>
  <si>
    <t>SANCHEZ</t>
  </si>
  <si>
    <t>Adrien</t>
  </si>
  <si>
    <t>SEILLER</t>
  </si>
  <si>
    <t>Andrea</t>
  </si>
  <si>
    <t>TAKOUNE</t>
  </si>
  <si>
    <t>Ali</t>
  </si>
  <si>
    <t>TILET</t>
  </si>
  <si>
    <t>Léo</t>
  </si>
  <si>
    <t>TOURCHI</t>
  </si>
  <si>
    <t>Anas</t>
  </si>
  <si>
    <t>VERNAULT-VIVAS</t>
  </si>
  <si>
    <t>VOINET</t>
  </si>
  <si>
    <t>Victor</t>
  </si>
  <si>
    <t>WAZZEH</t>
  </si>
  <si>
    <t>Dalal</t>
  </si>
  <si>
    <t>ZOUNOUTI</t>
  </si>
  <si>
    <t>Abdelkrim</t>
  </si>
  <si>
    <t>Prépa Maroc</t>
  </si>
  <si>
    <t>CPGE MPI</t>
  </si>
  <si>
    <t>CPGE PC</t>
  </si>
  <si>
    <t>Prépa INP Grenoble</t>
  </si>
  <si>
    <t>Groupe projet S6</t>
  </si>
  <si>
    <t>MATIERE : PEP10</t>
  </si>
  <si>
    <t>ENSEIGNANT : Dehay - Allane</t>
  </si>
  <si>
    <t>N° Projet S6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</si>
</sst>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  <family val="2"/>
    </font>
    <font>
      <b/>
      <i/>
      <sz val="22"/>
      <name val="Calibri"/>
      <family val="2"/>
      <scheme val="minor"/>
    </font>
    <font>
      <sz val="10"/>
      <name val="Calibri"/>
      <family val="2"/>
      <scheme val="minor"/>
    </font>
    <font>
      <b/>
      <i/>
      <sz val="12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0" borderId="0" xfId="0" applyFont="1"/>
    <xf numFmtId="0" fontId="3" fillId="0" borderId="2" xfId="0" applyFont="1" applyBorder="1" applyAlignment="1">
      <alignment horizontal="left" vertical="center"/>
    </xf>
    <xf numFmtId="0" fontId="3" fillId="0" borderId="0" xfId="0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3" fillId="0" borderId="3" xfId="0" applyFont="1" applyBorder="1" applyAlignment="1">
      <alignment horizontal="right" vertical="center"/>
    </xf>
    <xf numFmtId="0" fontId="5" fillId="0" borderId="2" xfId="0" applyFont="1" applyBorder="1" applyAlignment="1">
      <alignment horizontal="left" vertical="center"/>
    </xf>
    <xf numFmtId="0" fontId="5" fillId="0" borderId="0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3" xfId="0" applyFont="1" applyBorder="1" applyAlignment="1">
      <alignment vertical="center"/>
    </xf>
    <xf numFmtId="0" fontId="5" fillId="0" borderId="0" xfId="0" applyFont="1" applyAlignment="1">
      <alignment horizontal="left" vertical="center"/>
    </xf>
    <xf numFmtId="0" fontId="5" fillId="0" borderId="3" xfId="0" applyFont="1" applyBorder="1" applyAlignment="1">
      <alignment horizontal="right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vertical="center"/>
    </xf>
    <xf numFmtId="0" fontId="5" fillId="2" borderId="5" xfId="0" applyFont="1" applyFill="1" applyBorder="1" applyAlignment="1">
      <alignment horizontal="center" vertical="center"/>
    </xf>
    <xf numFmtId="0" fontId="6" fillId="0" borderId="1" xfId="0" applyFont="1" applyBorder="1" applyAlignment="1"/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0" fontId="0" fillId="0" borderId="1" xfId="0" applyBorder="1"/>
    <xf numFmtId="0" fontId="7" fillId="0" borderId="1" xfId="0" applyFont="1" applyBorder="1" applyAlignment="1">
      <alignment horizontal="center"/>
    </xf>
    <xf numFmtId="0" fontId="7" fillId="0" borderId="1" xfId="0" applyFont="1" applyBorder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49" fontId="6" fillId="0" borderId="1" xfId="0" applyNumberFormat="1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/>
    </xf>
    <xf numFmtId="49" fontId="6" fillId="0" borderId="0" xfId="0" applyNumberFormat="1" applyFont="1" applyBorder="1" applyAlignment="1">
      <alignment horizontal="center" vertical="center"/>
    </xf>
    <xf numFmtId="49" fontId="6" fillId="0" borderId="6" xfId="0" applyNumberFormat="1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6AFA1-AD3D-460C-8E04-16C71257191B}">
  <sheetPr>
    <pageSetUpPr fitToPage="1"/>
  </sheetPr>
  <dimension ref="A1:CQ97"/>
  <sheetViews>
    <sheetView tabSelected="1" zoomScale="85" zoomScaleNormal="85" zoomScaleSheetLayoutView="106" workbookViewId="0">
      <pane ySplit="5" topLeftCell="A6" activePane="bottomLeft" state="frozen"/>
      <selection pane="bottomLeft" activeCell="J5" sqref="J5"/>
    </sheetView>
  </sheetViews>
  <sheetFormatPr baseColWidth="10" defaultColWidth="11.5546875" defaultRowHeight="13.8" outlineLevelRow="1" outlineLevelCol="1" x14ac:dyDescent="0.3"/>
  <cols>
    <col min="1" max="1" width="16.88671875" style="24" hidden="1" customWidth="1" outlineLevel="1"/>
    <col min="2" max="2" width="33.6640625" style="25" customWidth="1" collapsed="1"/>
    <col min="3" max="3" width="22.88671875" style="24" customWidth="1"/>
    <col min="4" max="4" width="19" style="24" customWidth="1"/>
    <col min="5" max="5" width="15.5546875" style="26" customWidth="1"/>
    <col min="6" max="7" width="11.5546875" style="26" customWidth="1"/>
    <col min="8" max="8" width="11.6640625" style="26" customWidth="1"/>
    <col min="9" max="10" width="24.21875" style="26" customWidth="1"/>
    <col min="11" max="11" width="11.44140625" style="1" customWidth="1"/>
    <col min="12" max="12" width="36.33203125" style="1" customWidth="1"/>
    <col min="13" max="13" width="18.5546875" style="1" customWidth="1"/>
    <col min="14" max="16384" width="11.5546875" style="1"/>
  </cols>
  <sheetData>
    <row r="1" spans="1:95" ht="28.8" x14ac:dyDescent="0.3">
      <c r="A1" s="33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</row>
    <row r="2" spans="1:95" ht="15.6" outlineLevel="1" x14ac:dyDescent="0.3">
      <c r="A2" s="2"/>
      <c r="B2" s="3" t="s">
        <v>1</v>
      </c>
      <c r="C2" s="4" t="s">
        <v>2</v>
      </c>
      <c r="D2" s="4"/>
      <c r="E2" s="5"/>
      <c r="F2" s="5"/>
      <c r="G2" s="5"/>
      <c r="H2" s="5"/>
      <c r="I2" s="5"/>
      <c r="J2" s="5"/>
      <c r="K2" s="6"/>
      <c r="L2" s="7" t="s">
        <v>3</v>
      </c>
    </row>
    <row r="3" spans="1:95" ht="15.6" outlineLevel="1" x14ac:dyDescent="0.3">
      <c r="A3" s="8"/>
      <c r="B3" s="9" t="s">
        <v>191</v>
      </c>
      <c r="C3" s="10"/>
      <c r="D3" s="10"/>
      <c r="E3" s="11"/>
      <c r="F3" s="11"/>
      <c r="G3" s="11"/>
      <c r="H3" s="11"/>
      <c r="I3" s="11"/>
      <c r="J3" s="11"/>
      <c r="K3" s="10"/>
      <c r="L3" s="12"/>
    </row>
    <row r="4" spans="1:95" ht="15.6" outlineLevel="1" x14ac:dyDescent="0.3">
      <c r="A4" s="8"/>
      <c r="B4" s="9" t="s">
        <v>192</v>
      </c>
      <c r="C4" s="13"/>
      <c r="D4" s="13"/>
      <c r="E4" s="11"/>
      <c r="F4" s="11"/>
      <c r="G4" s="11"/>
      <c r="H4" s="11"/>
      <c r="I4" s="11"/>
      <c r="J4" s="11"/>
      <c r="K4" s="6"/>
      <c r="L4" s="14" t="str">
        <f>CONCATENATE(COUNTA(C6:C99)," élèves")</f>
        <v>86 élèves</v>
      </c>
    </row>
    <row r="5" spans="1:95" ht="15.6" x14ac:dyDescent="0.3">
      <c r="A5" s="15" t="s">
        <v>4</v>
      </c>
      <c r="B5" s="16" t="s">
        <v>5</v>
      </c>
      <c r="C5" s="15" t="s">
        <v>6</v>
      </c>
      <c r="D5" s="15" t="s">
        <v>7</v>
      </c>
      <c r="E5" s="15" t="s">
        <v>8</v>
      </c>
      <c r="F5" s="15" t="s">
        <v>9</v>
      </c>
      <c r="G5" s="15" t="s">
        <v>10</v>
      </c>
      <c r="H5" s="15" t="s">
        <v>11</v>
      </c>
      <c r="I5" s="15" t="s">
        <v>190</v>
      </c>
      <c r="J5" s="15" t="s">
        <v>193</v>
      </c>
      <c r="K5" s="15" t="s">
        <v>12</v>
      </c>
      <c r="L5" s="17" t="s">
        <v>13</v>
      </c>
      <c r="CQ5" s="1" t="s">
        <v>14</v>
      </c>
    </row>
    <row r="6" spans="1:95" customFormat="1" ht="14.4" x14ac:dyDescent="0.3">
      <c r="A6" s="27">
        <v>42501272</v>
      </c>
      <c r="B6" s="18" t="str">
        <f t="shared" ref="B6:B69" si="0">C6&amp;" "&amp;D6</f>
        <v>ACOSTA Baptiste</v>
      </c>
      <c r="C6" s="19" t="s">
        <v>15</v>
      </c>
      <c r="D6" s="19" t="s">
        <v>16</v>
      </c>
      <c r="E6" s="20" t="s">
        <v>166</v>
      </c>
      <c r="F6" s="20"/>
      <c r="G6" s="20" t="s">
        <v>17</v>
      </c>
      <c r="H6" s="20" t="s">
        <v>18</v>
      </c>
      <c r="I6" s="20">
        <v>1</v>
      </c>
      <c r="J6" s="20"/>
      <c r="K6" s="19"/>
      <c r="L6" s="19"/>
      <c r="M6" s="1"/>
    </row>
    <row r="7" spans="1:95" ht="14.4" x14ac:dyDescent="0.3">
      <c r="A7" s="27">
        <v>42503056</v>
      </c>
      <c r="B7" s="18" t="str">
        <f t="shared" si="0"/>
        <v>ADEBOWALE Abdoulaye</v>
      </c>
      <c r="C7" s="19" t="s">
        <v>19</v>
      </c>
      <c r="D7" s="19" t="s">
        <v>20</v>
      </c>
      <c r="E7" s="20" t="s">
        <v>188</v>
      </c>
      <c r="F7" s="20"/>
      <c r="G7" s="20" t="s">
        <v>17</v>
      </c>
      <c r="H7" s="20" t="s">
        <v>18</v>
      </c>
      <c r="I7" s="20">
        <v>1</v>
      </c>
      <c r="J7" s="20"/>
      <c r="K7" s="19"/>
      <c r="L7" s="19"/>
    </row>
    <row r="8" spans="1:95" ht="14.4" x14ac:dyDescent="0.3">
      <c r="A8" s="27">
        <v>42300116</v>
      </c>
      <c r="B8" s="18" t="str">
        <f t="shared" si="0"/>
        <v>ALKHALDI Adam</v>
      </c>
      <c r="C8" s="19" t="s">
        <v>21</v>
      </c>
      <c r="D8" s="19" t="s">
        <v>22</v>
      </c>
      <c r="E8" s="20" t="s">
        <v>189</v>
      </c>
      <c r="F8" s="20"/>
      <c r="G8" s="20" t="s">
        <v>17</v>
      </c>
      <c r="H8" s="20" t="s">
        <v>18</v>
      </c>
      <c r="I8" s="20">
        <v>1</v>
      </c>
      <c r="J8" s="20"/>
      <c r="K8" s="19"/>
      <c r="L8" s="19"/>
    </row>
    <row r="9" spans="1:95" ht="14.4" x14ac:dyDescent="0.3">
      <c r="A9" s="27">
        <v>42300414</v>
      </c>
      <c r="B9" s="18" t="str">
        <f t="shared" si="0"/>
        <v>ASTIER Titouan</v>
      </c>
      <c r="C9" s="19" t="s">
        <v>23</v>
      </c>
      <c r="D9" s="19" t="s">
        <v>24</v>
      </c>
      <c r="E9" s="20" t="s">
        <v>25</v>
      </c>
      <c r="F9" s="20"/>
      <c r="G9" s="20" t="s">
        <v>17</v>
      </c>
      <c r="H9" s="20" t="s">
        <v>18</v>
      </c>
      <c r="I9" s="20">
        <v>1</v>
      </c>
      <c r="J9" s="20"/>
      <c r="K9" s="21"/>
      <c r="L9" s="21"/>
    </row>
    <row r="10" spans="1:95" ht="14.4" x14ac:dyDescent="0.3">
      <c r="A10" s="27">
        <v>42501528</v>
      </c>
      <c r="B10" s="18" t="str">
        <f t="shared" si="0"/>
        <v>BABY Siméo</v>
      </c>
      <c r="C10" s="19" t="s">
        <v>26</v>
      </c>
      <c r="D10" s="19" t="s">
        <v>27</v>
      </c>
      <c r="E10" s="20" t="s">
        <v>93</v>
      </c>
      <c r="F10" s="20"/>
      <c r="G10" s="20" t="s">
        <v>17</v>
      </c>
      <c r="H10" s="20" t="s">
        <v>18</v>
      </c>
      <c r="I10" s="20">
        <v>1</v>
      </c>
      <c r="J10" s="20"/>
      <c r="K10" s="19"/>
      <c r="L10" s="19"/>
    </row>
    <row r="11" spans="1:95" ht="14.4" x14ac:dyDescent="0.3">
      <c r="A11" s="27">
        <v>42501785</v>
      </c>
      <c r="B11" s="18" t="str">
        <f t="shared" si="0"/>
        <v>BALDE Abdoulaye</v>
      </c>
      <c r="C11" s="19" t="s">
        <v>28</v>
      </c>
      <c r="D11" s="19" t="s">
        <v>20</v>
      </c>
      <c r="E11" s="20" t="s">
        <v>93</v>
      </c>
      <c r="F11" s="20"/>
      <c r="G11" s="20" t="s">
        <v>17</v>
      </c>
      <c r="H11" s="20" t="s">
        <v>18</v>
      </c>
      <c r="I11" s="20">
        <v>1</v>
      </c>
      <c r="J11" s="20"/>
      <c r="K11" s="19"/>
      <c r="L11" s="19"/>
    </row>
    <row r="12" spans="1:95" ht="14.4" x14ac:dyDescent="0.3">
      <c r="A12" s="27">
        <v>42300567</v>
      </c>
      <c r="B12" s="18" t="str">
        <f t="shared" si="0"/>
        <v>BALIGH Hussein Ahmed Ayman</v>
      </c>
      <c r="C12" s="19" t="s">
        <v>29</v>
      </c>
      <c r="D12" s="19" t="s">
        <v>30</v>
      </c>
      <c r="E12" s="20" t="s">
        <v>25</v>
      </c>
      <c r="F12" s="20"/>
      <c r="G12" s="20" t="s">
        <v>17</v>
      </c>
      <c r="H12" s="20" t="s">
        <v>18</v>
      </c>
      <c r="I12" s="20">
        <v>1</v>
      </c>
      <c r="J12" s="20"/>
      <c r="K12" s="19"/>
      <c r="L12" s="19"/>
    </row>
    <row r="13" spans="1:95" ht="14.4" x14ac:dyDescent="0.3">
      <c r="A13" s="27">
        <v>42300359</v>
      </c>
      <c r="B13" s="18" t="str">
        <f t="shared" si="0"/>
        <v>BARDEY Félix</v>
      </c>
      <c r="C13" s="19" t="s">
        <v>31</v>
      </c>
      <c r="D13" s="19" t="s">
        <v>32</v>
      </c>
      <c r="E13" s="20" t="s">
        <v>25</v>
      </c>
      <c r="F13" s="20"/>
      <c r="G13" s="20" t="s">
        <v>17</v>
      </c>
      <c r="H13" s="20" t="s">
        <v>18</v>
      </c>
      <c r="I13" s="20">
        <v>1</v>
      </c>
      <c r="J13" s="20"/>
      <c r="K13" s="21"/>
      <c r="L13" s="21"/>
    </row>
    <row r="14" spans="1:95" ht="14.4" x14ac:dyDescent="0.3">
      <c r="A14" s="27">
        <v>42501359</v>
      </c>
      <c r="B14" s="18" t="str">
        <f t="shared" si="0"/>
        <v>BASBAYON Rémi</v>
      </c>
      <c r="C14" s="19" t="s">
        <v>33</v>
      </c>
      <c r="D14" s="19" t="s">
        <v>34</v>
      </c>
      <c r="E14" s="20" t="s">
        <v>93</v>
      </c>
      <c r="F14" s="20"/>
      <c r="G14" s="20" t="s">
        <v>17</v>
      </c>
      <c r="H14" s="20" t="s">
        <v>18</v>
      </c>
      <c r="I14" s="20">
        <v>1</v>
      </c>
      <c r="J14" s="20"/>
      <c r="K14" s="19"/>
      <c r="L14" s="19"/>
    </row>
    <row r="15" spans="1:95" ht="14.4" x14ac:dyDescent="0.3">
      <c r="A15" s="27">
        <v>42502882</v>
      </c>
      <c r="B15" s="18" t="str">
        <f t="shared" si="0"/>
        <v>BEC-CLEMENTE Elio</v>
      </c>
      <c r="C15" s="19" t="s">
        <v>35</v>
      </c>
      <c r="D15" s="19" t="s">
        <v>36</v>
      </c>
      <c r="E15" s="20" t="s">
        <v>187</v>
      </c>
      <c r="F15" s="20"/>
      <c r="G15" s="20" t="s">
        <v>17</v>
      </c>
      <c r="H15" s="20" t="s">
        <v>18</v>
      </c>
      <c r="I15" s="20">
        <v>1</v>
      </c>
      <c r="J15" s="20"/>
      <c r="K15" s="19"/>
      <c r="L15" s="19"/>
    </row>
    <row r="16" spans="1:95" ht="14.4" x14ac:dyDescent="0.3">
      <c r="A16" s="27">
        <v>42300098</v>
      </c>
      <c r="B16" s="18" t="str">
        <f t="shared" si="0"/>
        <v>BELHOUCINE Jade</v>
      </c>
      <c r="C16" s="19" t="s">
        <v>37</v>
      </c>
      <c r="D16" s="19" t="s">
        <v>38</v>
      </c>
      <c r="E16" s="20" t="s">
        <v>25</v>
      </c>
      <c r="F16" s="20"/>
      <c r="G16" s="20" t="s">
        <v>17</v>
      </c>
      <c r="H16" s="20" t="s">
        <v>18</v>
      </c>
      <c r="I16" s="20">
        <v>1</v>
      </c>
      <c r="J16" s="20"/>
      <c r="K16" s="19"/>
      <c r="L16" s="19"/>
    </row>
    <row r="17" spans="1:12" ht="14.4" x14ac:dyDescent="0.3">
      <c r="A17" s="27">
        <v>42503052</v>
      </c>
      <c r="B17" s="18" t="str">
        <f t="shared" si="0"/>
        <v>BENGAOUA Sarah</v>
      </c>
      <c r="C17" s="19" t="s">
        <v>39</v>
      </c>
      <c r="D17" s="19" t="s">
        <v>40</v>
      </c>
      <c r="E17" s="20" t="s">
        <v>188</v>
      </c>
      <c r="F17" s="20"/>
      <c r="G17" s="20" t="s">
        <v>17</v>
      </c>
      <c r="H17" s="20" t="s">
        <v>18</v>
      </c>
      <c r="I17" s="20">
        <v>1</v>
      </c>
      <c r="J17" s="20"/>
      <c r="K17" s="21"/>
      <c r="L17" s="19"/>
    </row>
    <row r="18" spans="1:12" ht="14.4" x14ac:dyDescent="0.3">
      <c r="A18" s="27">
        <v>42300628</v>
      </c>
      <c r="B18" s="18" t="str">
        <f t="shared" si="0"/>
        <v>BERLIOZ Robbie</v>
      </c>
      <c r="C18" s="19" t="s">
        <v>41</v>
      </c>
      <c r="D18" s="19" t="s">
        <v>42</v>
      </c>
      <c r="E18" s="20" t="s">
        <v>25</v>
      </c>
      <c r="F18" s="20"/>
      <c r="G18" s="20" t="s">
        <v>17</v>
      </c>
      <c r="H18" s="20" t="s">
        <v>18</v>
      </c>
      <c r="I18" s="20">
        <v>1</v>
      </c>
      <c r="J18" s="20"/>
      <c r="K18" s="21"/>
      <c r="L18" s="19"/>
    </row>
    <row r="19" spans="1:12" ht="14.4" x14ac:dyDescent="0.3">
      <c r="A19" s="27">
        <v>42300143</v>
      </c>
      <c r="B19" s="18" t="str">
        <f t="shared" si="0"/>
        <v>BOITET Hugo</v>
      </c>
      <c r="C19" s="19" t="s">
        <v>43</v>
      </c>
      <c r="D19" s="19" t="s">
        <v>44</v>
      </c>
      <c r="E19" s="20" t="s">
        <v>25</v>
      </c>
      <c r="F19" s="20"/>
      <c r="G19" s="20" t="s">
        <v>17</v>
      </c>
      <c r="H19" s="20" t="s">
        <v>18</v>
      </c>
      <c r="I19" s="20">
        <v>1</v>
      </c>
      <c r="J19" s="20"/>
      <c r="K19" s="19"/>
      <c r="L19" s="19"/>
    </row>
    <row r="20" spans="1:12" ht="14.4" x14ac:dyDescent="0.3">
      <c r="A20" s="28">
        <v>42200674</v>
      </c>
      <c r="B20" s="18" t="str">
        <f t="shared" si="0"/>
        <v>BOUZZO Tristan</v>
      </c>
      <c r="C20" s="19" t="s">
        <v>45</v>
      </c>
      <c r="D20" s="19" t="s">
        <v>46</v>
      </c>
      <c r="E20" s="20" t="s">
        <v>25</v>
      </c>
      <c r="F20" s="20"/>
      <c r="G20" s="20" t="s">
        <v>17</v>
      </c>
      <c r="H20" s="20" t="s">
        <v>47</v>
      </c>
      <c r="I20" s="20">
        <v>1</v>
      </c>
      <c r="J20" s="20"/>
      <c r="K20" s="19"/>
      <c r="L20" s="19"/>
    </row>
    <row r="21" spans="1:12" ht="14.4" x14ac:dyDescent="0.3">
      <c r="A21" s="27">
        <v>42300282</v>
      </c>
      <c r="B21" s="18" t="str">
        <f t="shared" si="0"/>
        <v>BREDEVILLE Lila</v>
      </c>
      <c r="C21" s="19" t="s">
        <v>48</v>
      </c>
      <c r="D21" s="19" t="s">
        <v>49</v>
      </c>
      <c r="E21" s="20" t="s">
        <v>25</v>
      </c>
      <c r="F21" s="20" t="s">
        <v>50</v>
      </c>
      <c r="G21" s="20" t="s">
        <v>17</v>
      </c>
      <c r="H21" s="20" t="s">
        <v>47</v>
      </c>
      <c r="I21" s="20">
        <v>1</v>
      </c>
      <c r="J21" s="20"/>
      <c r="K21" s="19"/>
      <c r="L21" s="19"/>
    </row>
    <row r="22" spans="1:12" ht="14.4" x14ac:dyDescent="0.3">
      <c r="A22" s="27">
        <v>42300194</v>
      </c>
      <c r="B22" s="18" t="str">
        <f t="shared" si="0"/>
        <v>BREDIN Lucie</v>
      </c>
      <c r="C22" s="19" t="s">
        <v>51</v>
      </c>
      <c r="D22" s="19" t="s">
        <v>52</v>
      </c>
      <c r="E22" s="20" t="s">
        <v>25</v>
      </c>
      <c r="F22" s="20" t="s">
        <v>50</v>
      </c>
      <c r="G22" s="20" t="s">
        <v>17</v>
      </c>
      <c r="H22" s="20" t="s">
        <v>47</v>
      </c>
      <c r="I22" s="20">
        <v>1</v>
      </c>
      <c r="J22" s="20"/>
      <c r="K22" s="19"/>
      <c r="L22" s="19"/>
    </row>
    <row r="23" spans="1:12" ht="14.4" x14ac:dyDescent="0.3">
      <c r="A23" s="27">
        <v>42300528</v>
      </c>
      <c r="B23" s="18" t="str">
        <f t="shared" si="0"/>
        <v>BROSSAT Robin</v>
      </c>
      <c r="C23" s="19" t="s">
        <v>53</v>
      </c>
      <c r="D23" s="19" t="s">
        <v>54</v>
      </c>
      <c r="E23" s="20" t="s">
        <v>25</v>
      </c>
      <c r="F23" s="20"/>
      <c r="G23" s="20" t="s">
        <v>17</v>
      </c>
      <c r="H23" s="20" t="s">
        <v>47</v>
      </c>
      <c r="I23" s="20">
        <v>1</v>
      </c>
      <c r="J23" s="20"/>
      <c r="K23" s="19"/>
      <c r="L23" s="19"/>
    </row>
    <row r="24" spans="1:12" ht="14.4" x14ac:dyDescent="0.3">
      <c r="A24" s="27">
        <v>42502913</v>
      </c>
      <c r="B24" s="18" t="str">
        <f t="shared" si="0"/>
        <v>CARLINI Quentin</v>
      </c>
      <c r="C24" s="19" t="s">
        <v>55</v>
      </c>
      <c r="D24" s="19" t="s">
        <v>56</v>
      </c>
      <c r="E24" s="20" t="s">
        <v>93</v>
      </c>
      <c r="F24" s="20"/>
      <c r="G24" s="20" t="s">
        <v>17</v>
      </c>
      <c r="H24" s="20" t="s">
        <v>47</v>
      </c>
      <c r="I24" s="20">
        <v>1</v>
      </c>
      <c r="J24" s="20"/>
      <c r="K24" s="19"/>
      <c r="L24" s="19"/>
    </row>
    <row r="25" spans="1:12" ht="14.4" x14ac:dyDescent="0.3">
      <c r="A25" s="27">
        <v>42300243</v>
      </c>
      <c r="B25" s="18" t="str">
        <f t="shared" si="0"/>
        <v>CHAHORY Quentin</v>
      </c>
      <c r="C25" s="19" t="s">
        <v>57</v>
      </c>
      <c r="D25" s="19" t="s">
        <v>56</v>
      </c>
      <c r="E25" s="20" t="s">
        <v>25</v>
      </c>
      <c r="F25" s="20"/>
      <c r="G25" s="20" t="s">
        <v>17</v>
      </c>
      <c r="H25" s="20" t="s">
        <v>47</v>
      </c>
      <c r="I25" s="20">
        <v>1</v>
      </c>
      <c r="J25" s="20"/>
      <c r="K25" s="19"/>
      <c r="L25" s="19"/>
    </row>
    <row r="26" spans="1:12" ht="14.4" x14ac:dyDescent="0.3">
      <c r="A26" s="29">
        <v>42502119</v>
      </c>
      <c r="B26" s="18" t="str">
        <f t="shared" si="0"/>
        <v>CHARTON Théo</v>
      </c>
      <c r="C26" s="19" t="s">
        <v>58</v>
      </c>
      <c r="D26" s="19" t="s">
        <v>59</v>
      </c>
      <c r="E26" s="20" t="s">
        <v>187</v>
      </c>
      <c r="F26" s="20"/>
      <c r="G26" s="20" t="s">
        <v>17</v>
      </c>
      <c r="H26" s="20" t="s">
        <v>47</v>
      </c>
      <c r="I26" s="20">
        <v>1</v>
      </c>
      <c r="J26" s="20"/>
      <c r="K26" s="19"/>
      <c r="L26" s="19"/>
    </row>
    <row r="27" spans="1:12" ht="14.4" x14ac:dyDescent="0.3">
      <c r="A27" s="27">
        <v>42300115</v>
      </c>
      <c r="B27" s="18" t="str">
        <f t="shared" si="0"/>
        <v>CHEVAL Lubin</v>
      </c>
      <c r="C27" s="19" t="s">
        <v>60</v>
      </c>
      <c r="D27" s="19" t="s">
        <v>61</v>
      </c>
      <c r="E27" s="20" t="s">
        <v>25</v>
      </c>
      <c r="F27" s="20"/>
      <c r="G27" s="20" t="s">
        <v>17</v>
      </c>
      <c r="H27" s="20" t="s">
        <v>47</v>
      </c>
      <c r="I27" s="20">
        <v>1</v>
      </c>
      <c r="J27" s="20"/>
      <c r="K27" s="19"/>
      <c r="L27" s="19"/>
    </row>
    <row r="28" spans="1:12" ht="14.4" x14ac:dyDescent="0.3">
      <c r="A28" s="27">
        <v>42300443</v>
      </c>
      <c r="B28" s="18" t="str">
        <f t="shared" si="0"/>
        <v>CLAVEL Antoine</v>
      </c>
      <c r="C28" s="19" t="s">
        <v>62</v>
      </c>
      <c r="D28" s="19" t="s">
        <v>63</v>
      </c>
      <c r="E28" s="20" t="s">
        <v>25</v>
      </c>
      <c r="F28" s="20"/>
      <c r="G28" s="20" t="s">
        <v>17</v>
      </c>
      <c r="H28" s="20" t="s">
        <v>47</v>
      </c>
      <c r="I28" s="20">
        <v>2</v>
      </c>
      <c r="J28" s="20"/>
      <c r="K28" s="19"/>
      <c r="L28" s="19"/>
    </row>
    <row r="29" spans="1:12" ht="14.4" x14ac:dyDescent="0.3">
      <c r="A29" s="27">
        <v>42501654</v>
      </c>
      <c r="B29" s="18" t="str">
        <f t="shared" si="0"/>
        <v>COGAN Amaury</v>
      </c>
      <c r="C29" s="19" t="s">
        <v>64</v>
      </c>
      <c r="D29" s="19" t="s">
        <v>65</v>
      </c>
      <c r="E29" s="20" t="s">
        <v>85</v>
      </c>
      <c r="F29" s="20"/>
      <c r="G29" s="20" t="s">
        <v>17</v>
      </c>
      <c r="H29" s="20" t="s">
        <v>47</v>
      </c>
      <c r="I29" s="20">
        <v>2</v>
      </c>
      <c r="J29" s="20"/>
      <c r="K29" s="19"/>
      <c r="L29" s="19"/>
    </row>
    <row r="30" spans="1:12" ht="14.4" x14ac:dyDescent="0.3">
      <c r="A30" s="27">
        <v>42300625</v>
      </c>
      <c r="B30" s="18" t="str">
        <f t="shared" si="0"/>
        <v>COLLIGNON Benjamin</v>
      </c>
      <c r="C30" s="19" t="s">
        <v>66</v>
      </c>
      <c r="D30" s="19" t="s">
        <v>67</v>
      </c>
      <c r="E30" s="20" t="s">
        <v>25</v>
      </c>
      <c r="F30" s="20"/>
      <c r="G30" s="20" t="s">
        <v>17</v>
      </c>
      <c r="H30" s="20" t="s">
        <v>47</v>
      </c>
      <c r="I30" s="20">
        <v>2</v>
      </c>
      <c r="J30" s="20"/>
      <c r="K30" s="19"/>
      <c r="L30" s="19"/>
    </row>
    <row r="31" spans="1:12" ht="14.4" x14ac:dyDescent="0.3">
      <c r="A31" s="27">
        <v>42502466</v>
      </c>
      <c r="B31" s="18" t="str">
        <f t="shared" si="0"/>
        <v>COLOMBON Maxime</v>
      </c>
      <c r="C31" s="19" t="s">
        <v>68</v>
      </c>
      <c r="D31" s="19" t="s">
        <v>69</v>
      </c>
      <c r="E31" s="20" t="s">
        <v>85</v>
      </c>
      <c r="F31" s="20"/>
      <c r="G31" s="20" t="s">
        <v>17</v>
      </c>
      <c r="H31" s="20" t="s">
        <v>47</v>
      </c>
      <c r="I31" s="20">
        <v>2</v>
      </c>
      <c r="J31" s="20"/>
      <c r="K31" s="19"/>
      <c r="L31" s="19"/>
    </row>
    <row r="32" spans="1:12" ht="14.4" x14ac:dyDescent="0.3">
      <c r="A32" s="27">
        <v>42300416</v>
      </c>
      <c r="B32" s="18" t="str">
        <f t="shared" si="0"/>
        <v>COSTE Clément</v>
      </c>
      <c r="C32" s="19" t="s">
        <v>70</v>
      </c>
      <c r="D32" s="19" t="s">
        <v>71</v>
      </c>
      <c r="E32" s="20" t="s">
        <v>25</v>
      </c>
      <c r="F32" s="20"/>
      <c r="G32" s="20" t="s">
        <v>17</v>
      </c>
      <c r="H32" s="20" t="s">
        <v>47</v>
      </c>
      <c r="I32" s="20">
        <v>2</v>
      </c>
      <c r="J32" s="20"/>
      <c r="K32" s="19"/>
      <c r="L32" s="19"/>
    </row>
    <row r="33" spans="1:13" ht="14.4" x14ac:dyDescent="0.3">
      <c r="A33" s="27">
        <v>42300176</v>
      </c>
      <c r="B33" s="18" t="str">
        <f t="shared" si="0"/>
        <v>COURTOIS Maxance</v>
      </c>
      <c r="C33" s="19" t="s">
        <v>72</v>
      </c>
      <c r="D33" s="19" t="s">
        <v>73</v>
      </c>
      <c r="E33" s="20" t="s">
        <v>25</v>
      </c>
      <c r="F33" s="20"/>
      <c r="G33" s="20" t="s">
        <v>17</v>
      </c>
      <c r="H33" s="20" t="s">
        <v>47</v>
      </c>
      <c r="I33" s="20">
        <v>2</v>
      </c>
      <c r="J33" s="20"/>
      <c r="K33" s="19"/>
      <c r="L33" s="19"/>
    </row>
    <row r="34" spans="1:13" ht="14.4" x14ac:dyDescent="0.3">
      <c r="A34" s="27">
        <v>42300085</v>
      </c>
      <c r="B34" s="18" t="str">
        <f t="shared" si="0"/>
        <v>D'ABRESCIA--BOUTEMY Alexandre</v>
      </c>
      <c r="C34" s="19" t="s">
        <v>74</v>
      </c>
      <c r="D34" s="19" t="s">
        <v>75</v>
      </c>
      <c r="E34" s="20" t="s">
        <v>25</v>
      </c>
      <c r="F34" s="20"/>
      <c r="G34" s="20" t="s">
        <v>76</v>
      </c>
      <c r="H34" s="20" t="s">
        <v>77</v>
      </c>
      <c r="I34" s="20">
        <v>2</v>
      </c>
      <c r="J34" s="20"/>
      <c r="K34" s="19"/>
      <c r="L34" s="19"/>
    </row>
    <row r="35" spans="1:13" ht="14.4" x14ac:dyDescent="0.3">
      <c r="A35" s="30">
        <v>42300981</v>
      </c>
      <c r="B35" s="18" t="str">
        <f t="shared" si="0"/>
        <v>DARMET Enguerran</v>
      </c>
      <c r="C35" s="19" t="s">
        <v>78</v>
      </c>
      <c r="D35" s="19" t="s">
        <v>79</v>
      </c>
      <c r="E35" s="20" t="s">
        <v>25</v>
      </c>
      <c r="F35" s="20"/>
      <c r="G35" s="20" t="s">
        <v>76</v>
      </c>
      <c r="H35" s="20" t="s">
        <v>77</v>
      </c>
      <c r="I35" s="20">
        <v>2</v>
      </c>
      <c r="J35" s="20"/>
      <c r="K35" s="19"/>
      <c r="L35" s="19"/>
    </row>
    <row r="36" spans="1:13" ht="14.4" x14ac:dyDescent="0.3">
      <c r="A36" s="27">
        <v>42300835</v>
      </c>
      <c r="B36" s="18" t="str">
        <f t="shared" si="0"/>
        <v>DE BAST Sofiane</v>
      </c>
      <c r="C36" s="19" t="s">
        <v>80</v>
      </c>
      <c r="D36" s="19" t="s">
        <v>81</v>
      </c>
      <c r="E36" s="20" t="s">
        <v>25</v>
      </c>
      <c r="F36" s="20"/>
      <c r="G36" s="20" t="s">
        <v>76</v>
      </c>
      <c r="H36" s="20" t="s">
        <v>77</v>
      </c>
      <c r="I36" s="20">
        <v>2</v>
      </c>
      <c r="J36" s="20"/>
      <c r="K36" s="19"/>
      <c r="L36" s="19"/>
    </row>
    <row r="37" spans="1:13" ht="14.4" x14ac:dyDescent="0.3">
      <c r="A37" s="27">
        <v>42502109</v>
      </c>
      <c r="B37" s="18" t="str">
        <f t="shared" si="0"/>
        <v>DECOMBLE Quentin</v>
      </c>
      <c r="C37" s="19" t="s">
        <v>82</v>
      </c>
      <c r="D37" s="19" t="s">
        <v>56</v>
      </c>
      <c r="E37" s="20" t="s">
        <v>187</v>
      </c>
      <c r="F37" s="20"/>
      <c r="G37" s="20" t="s">
        <v>76</v>
      </c>
      <c r="H37" s="20" t="s">
        <v>77</v>
      </c>
      <c r="I37" s="20">
        <v>2</v>
      </c>
      <c r="J37" s="20"/>
      <c r="K37" s="19"/>
      <c r="L37" s="19"/>
    </row>
    <row r="38" spans="1:13" ht="14.4" x14ac:dyDescent="0.3">
      <c r="A38" s="27">
        <v>42401544</v>
      </c>
      <c r="B38" s="18" t="str">
        <f t="shared" si="0"/>
        <v>DETRAZ Camille</v>
      </c>
      <c r="C38" s="19" t="s">
        <v>83</v>
      </c>
      <c r="D38" s="19" t="s">
        <v>84</v>
      </c>
      <c r="E38" s="20" t="s">
        <v>85</v>
      </c>
      <c r="F38" s="20" t="s">
        <v>86</v>
      </c>
      <c r="G38" s="20" t="s">
        <v>76</v>
      </c>
      <c r="H38" s="20" t="s">
        <v>77</v>
      </c>
      <c r="I38" s="20">
        <v>2</v>
      </c>
      <c r="J38" s="20"/>
      <c r="K38" s="19"/>
      <c r="L38" s="19"/>
    </row>
    <row r="39" spans="1:13" ht="14.4" x14ac:dyDescent="0.3">
      <c r="A39" s="27">
        <v>42501500</v>
      </c>
      <c r="B39" s="18" t="str">
        <f t="shared" si="0"/>
        <v>DHIVERT Quentin</v>
      </c>
      <c r="C39" s="19" t="s">
        <v>87</v>
      </c>
      <c r="D39" s="19" t="s">
        <v>56</v>
      </c>
      <c r="E39" s="20" t="s">
        <v>85</v>
      </c>
      <c r="F39" s="20"/>
      <c r="G39" s="20" t="s">
        <v>76</v>
      </c>
      <c r="H39" s="20" t="s">
        <v>77</v>
      </c>
      <c r="I39" s="20">
        <v>2</v>
      </c>
      <c r="J39" s="20"/>
      <c r="K39" s="19"/>
      <c r="L39" s="19"/>
    </row>
    <row r="40" spans="1:13" ht="14.4" x14ac:dyDescent="0.3">
      <c r="A40" s="27">
        <v>42300352</v>
      </c>
      <c r="B40" s="18" t="str">
        <f t="shared" si="0"/>
        <v>DIENNE Théo</v>
      </c>
      <c r="C40" s="19" t="s">
        <v>88</v>
      </c>
      <c r="D40" s="19" t="s">
        <v>59</v>
      </c>
      <c r="E40" s="20" t="s">
        <v>25</v>
      </c>
      <c r="F40" s="20"/>
      <c r="G40" s="20" t="s">
        <v>76</v>
      </c>
      <c r="H40" s="20" t="s">
        <v>77</v>
      </c>
      <c r="I40" s="20">
        <v>2</v>
      </c>
      <c r="J40" s="20"/>
      <c r="K40" s="19"/>
      <c r="L40" s="19"/>
    </row>
    <row r="41" spans="1:13" ht="14.4" x14ac:dyDescent="0.3">
      <c r="A41" s="27">
        <v>42300477</v>
      </c>
      <c r="B41" s="18" t="str">
        <f t="shared" si="0"/>
        <v>DUBOULOZ Jules</v>
      </c>
      <c r="C41" s="19" t="s">
        <v>89</v>
      </c>
      <c r="D41" s="19" t="s">
        <v>90</v>
      </c>
      <c r="E41" s="20" t="s">
        <v>25</v>
      </c>
      <c r="F41" s="20"/>
      <c r="G41" s="20" t="s">
        <v>76</v>
      </c>
      <c r="H41" s="20" t="s">
        <v>77</v>
      </c>
      <c r="I41" s="20">
        <v>2</v>
      </c>
      <c r="J41" s="20"/>
      <c r="K41" s="19"/>
      <c r="L41" s="19"/>
    </row>
    <row r="42" spans="1:13" ht="14.4" x14ac:dyDescent="0.3">
      <c r="A42" s="27">
        <v>42401169</v>
      </c>
      <c r="B42" s="18" t="str">
        <f t="shared" si="0"/>
        <v>ECH-CHKOUBI Mohamed</v>
      </c>
      <c r="C42" s="19" t="s">
        <v>91</v>
      </c>
      <c r="D42" s="19" t="s">
        <v>92</v>
      </c>
      <c r="E42" s="20" t="s">
        <v>93</v>
      </c>
      <c r="F42" s="20"/>
      <c r="G42" s="20" t="s">
        <v>76</v>
      </c>
      <c r="H42" s="20" t="s">
        <v>77</v>
      </c>
      <c r="I42" s="20">
        <v>2</v>
      </c>
      <c r="J42" s="20"/>
      <c r="K42" s="19"/>
      <c r="L42" s="19"/>
    </row>
    <row r="43" spans="1:13" ht="14.4" x14ac:dyDescent="0.3">
      <c r="A43" s="27">
        <v>42401287</v>
      </c>
      <c r="B43" s="18" t="str">
        <f t="shared" si="0"/>
        <v>EL KADOUSSI Imrane</v>
      </c>
      <c r="C43" s="19" t="s">
        <v>94</v>
      </c>
      <c r="D43" s="19" t="s">
        <v>95</v>
      </c>
      <c r="E43" s="20" t="s">
        <v>85</v>
      </c>
      <c r="F43" s="20"/>
      <c r="G43" s="20" t="s">
        <v>76</v>
      </c>
      <c r="H43" s="20" t="s">
        <v>77</v>
      </c>
      <c r="I43" s="20">
        <v>2</v>
      </c>
      <c r="J43" s="20"/>
      <c r="K43" s="19"/>
      <c r="L43" s="19"/>
    </row>
    <row r="44" spans="1:13" ht="14.4" x14ac:dyDescent="0.3">
      <c r="A44" s="27">
        <v>42300186</v>
      </c>
      <c r="B44" s="18" t="str">
        <f t="shared" si="0"/>
        <v>EL OUANSAIDI Ilyass</v>
      </c>
      <c r="C44" s="19" t="s">
        <v>96</v>
      </c>
      <c r="D44" s="19" t="s">
        <v>97</v>
      </c>
      <c r="E44" s="20" t="s">
        <v>25</v>
      </c>
      <c r="F44" s="20"/>
      <c r="G44" s="20" t="s">
        <v>76</v>
      </c>
      <c r="H44" s="20" t="s">
        <v>77</v>
      </c>
      <c r="I44" s="20">
        <v>2</v>
      </c>
      <c r="J44" s="20"/>
      <c r="K44" s="19"/>
      <c r="L44" s="19"/>
    </row>
    <row r="45" spans="1:13" ht="14.4" x14ac:dyDescent="0.3">
      <c r="A45" s="27">
        <v>42300183</v>
      </c>
      <c r="B45" s="18" t="str">
        <f t="shared" si="0"/>
        <v>ESTEBAN Clément</v>
      </c>
      <c r="C45" s="19" t="s">
        <v>98</v>
      </c>
      <c r="D45" s="19" t="s">
        <v>71</v>
      </c>
      <c r="E45" s="20" t="s">
        <v>25</v>
      </c>
      <c r="F45" s="20"/>
      <c r="G45" s="20" t="s">
        <v>76</v>
      </c>
      <c r="H45" s="20" t="s">
        <v>77</v>
      </c>
      <c r="I45" s="20">
        <v>2</v>
      </c>
      <c r="J45" s="20"/>
      <c r="K45" s="19"/>
      <c r="L45" s="19"/>
    </row>
    <row r="46" spans="1:13" ht="14.4" x14ac:dyDescent="0.3">
      <c r="A46" s="27">
        <v>42501516</v>
      </c>
      <c r="B46" s="18" t="str">
        <f t="shared" si="0"/>
        <v>FIEVRE Simon</v>
      </c>
      <c r="C46" s="19" t="s">
        <v>99</v>
      </c>
      <c r="D46" s="19" t="s">
        <v>100</v>
      </c>
      <c r="E46" s="20" t="s">
        <v>85</v>
      </c>
      <c r="F46" s="20"/>
      <c r="G46" s="20" t="s">
        <v>76</v>
      </c>
      <c r="H46" s="20" t="s">
        <v>77</v>
      </c>
      <c r="I46" s="20">
        <v>2</v>
      </c>
      <c r="J46" s="20"/>
      <c r="K46" s="19"/>
      <c r="L46" s="19"/>
    </row>
    <row r="47" spans="1:13" ht="14.4" x14ac:dyDescent="0.3">
      <c r="A47" s="27">
        <v>42200229</v>
      </c>
      <c r="B47" s="18" t="str">
        <f t="shared" si="0"/>
        <v>FLAVEN Thomas</v>
      </c>
      <c r="C47" s="19" t="s">
        <v>101</v>
      </c>
      <c r="D47" s="19" t="s">
        <v>102</v>
      </c>
      <c r="E47" s="20" t="s">
        <v>25</v>
      </c>
      <c r="F47" s="20"/>
      <c r="G47" s="20" t="s">
        <v>76</v>
      </c>
      <c r="H47" s="20" t="s">
        <v>77</v>
      </c>
      <c r="I47" s="20">
        <v>2</v>
      </c>
      <c r="J47" s="20"/>
      <c r="K47" s="19"/>
      <c r="L47" s="19"/>
    </row>
    <row r="48" spans="1:13" customFormat="1" ht="14.4" x14ac:dyDescent="0.3">
      <c r="A48" s="27">
        <v>42300410</v>
      </c>
      <c r="B48" s="18" t="str">
        <f t="shared" si="0"/>
        <v>FRETWELL Romain</v>
      </c>
      <c r="C48" s="19" t="s">
        <v>103</v>
      </c>
      <c r="D48" s="19" t="s">
        <v>104</v>
      </c>
      <c r="E48" s="20" t="s">
        <v>25</v>
      </c>
      <c r="F48" s="20" t="s">
        <v>50</v>
      </c>
      <c r="G48" s="20" t="s">
        <v>76</v>
      </c>
      <c r="H48" s="20" t="s">
        <v>77</v>
      </c>
      <c r="I48" s="20">
        <v>2</v>
      </c>
      <c r="J48" s="20"/>
      <c r="K48" s="19"/>
      <c r="L48" s="19"/>
      <c r="M48" s="1"/>
    </row>
    <row r="49" spans="1:13" customFormat="1" ht="14.4" x14ac:dyDescent="0.3">
      <c r="A49" s="27">
        <v>42300106</v>
      </c>
      <c r="B49" s="18" t="str">
        <f t="shared" si="0"/>
        <v>GOMEZ Camille</v>
      </c>
      <c r="C49" s="19" t="s">
        <v>105</v>
      </c>
      <c r="D49" s="19" t="s">
        <v>84</v>
      </c>
      <c r="E49" s="20" t="s">
        <v>25</v>
      </c>
      <c r="F49" s="20"/>
      <c r="G49" s="20" t="s">
        <v>76</v>
      </c>
      <c r="H49" s="20" t="s">
        <v>77</v>
      </c>
      <c r="I49" s="20">
        <v>2</v>
      </c>
      <c r="J49" s="20"/>
      <c r="K49" s="19"/>
      <c r="L49" s="19"/>
      <c r="M49" s="1"/>
    </row>
    <row r="50" spans="1:13" customFormat="1" ht="14.4" x14ac:dyDescent="0.3">
      <c r="A50" s="27">
        <v>42300494</v>
      </c>
      <c r="B50" s="18" t="str">
        <f t="shared" si="0"/>
        <v>GOUZERCH Louis</v>
      </c>
      <c r="C50" s="19" t="s">
        <v>106</v>
      </c>
      <c r="D50" s="19" t="s">
        <v>107</v>
      </c>
      <c r="E50" s="20" t="s">
        <v>25</v>
      </c>
      <c r="F50" s="20"/>
      <c r="G50" s="20" t="s">
        <v>76</v>
      </c>
      <c r="H50" s="20" t="s">
        <v>108</v>
      </c>
      <c r="I50" s="20">
        <v>3</v>
      </c>
      <c r="J50" s="20"/>
      <c r="K50" s="19"/>
      <c r="L50" s="19"/>
      <c r="M50" s="1"/>
    </row>
    <row r="51" spans="1:13" customFormat="1" ht="14.4" x14ac:dyDescent="0.3">
      <c r="A51" s="27">
        <v>42502845</v>
      </c>
      <c r="B51" s="18" t="str">
        <f t="shared" si="0"/>
        <v>GUESDON Etienne</v>
      </c>
      <c r="C51" s="19" t="s">
        <v>109</v>
      </c>
      <c r="D51" s="19" t="s">
        <v>110</v>
      </c>
      <c r="E51" s="20" t="s">
        <v>93</v>
      </c>
      <c r="F51" s="20"/>
      <c r="G51" s="20" t="s">
        <v>76</v>
      </c>
      <c r="H51" s="20" t="s">
        <v>108</v>
      </c>
      <c r="I51" s="20">
        <v>3</v>
      </c>
      <c r="J51" s="20"/>
      <c r="K51" s="19"/>
      <c r="L51" s="19"/>
      <c r="M51" s="1"/>
    </row>
    <row r="52" spans="1:13" customFormat="1" ht="14.4" x14ac:dyDescent="0.3">
      <c r="A52" s="27">
        <v>42300102</v>
      </c>
      <c r="B52" s="18" t="str">
        <f t="shared" si="0"/>
        <v>GUFFON Damien</v>
      </c>
      <c r="C52" s="19" t="s">
        <v>111</v>
      </c>
      <c r="D52" s="19" t="s">
        <v>112</v>
      </c>
      <c r="E52" s="20" t="s">
        <v>25</v>
      </c>
      <c r="F52" s="20"/>
      <c r="G52" s="20" t="s">
        <v>76</v>
      </c>
      <c r="H52" s="20" t="s">
        <v>108</v>
      </c>
      <c r="I52" s="20">
        <v>3</v>
      </c>
      <c r="J52" s="20"/>
      <c r="K52" s="19"/>
      <c r="L52" s="19"/>
      <c r="M52" s="1"/>
    </row>
    <row r="53" spans="1:13" customFormat="1" ht="14.4" x14ac:dyDescent="0.3">
      <c r="A53" s="27">
        <v>42502742</v>
      </c>
      <c r="B53" s="18" t="str">
        <f t="shared" si="0"/>
        <v>HOCQUELOUX Jean-Félix</v>
      </c>
      <c r="C53" s="19" t="s">
        <v>113</v>
      </c>
      <c r="D53" s="19" t="s">
        <v>114</v>
      </c>
      <c r="E53" s="20" t="s">
        <v>85</v>
      </c>
      <c r="F53" s="20"/>
      <c r="G53" s="20" t="s">
        <v>76</v>
      </c>
      <c r="H53" s="20" t="s">
        <v>108</v>
      </c>
      <c r="I53" s="20">
        <v>3</v>
      </c>
      <c r="J53" s="20"/>
      <c r="K53" s="19"/>
      <c r="L53" s="19"/>
      <c r="M53" s="1"/>
    </row>
    <row r="54" spans="1:13" customFormat="1" ht="14.4" x14ac:dyDescent="0.3">
      <c r="A54" s="27">
        <v>42200007</v>
      </c>
      <c r="B54" s="18" t="str">
        <f t="shared" si="0"/>
        <v>HODOUL Pierrick</v>
      </c>
      <c r="C54" s="19" t="s">
        <v>115</v>
      </c>
      <c r="D54" s="19" t="s">
        <v>116</v>
      </c>
      <c r="E54" s="20" t="s">
        <v>25</v>
      </c>
      <c r="F54" s="20"/>
      <c r="G54" s="20" t="s">
        <v>76</v>
      </c>
      <c r="H54" s="20" t="s">
        <v>108</v>
      </c>
      <c r="I54" s="20">
        <v>3</v>
      </c>
      <c r="J54" s="20"/>
      <c r="K54" s="19"/>
      <c r="L54" s="19"/>
      <c r="M54" s="1"/>
    </row>
    <row r="55" spans="1:13" customFormat="1" ht="14.4" x14ac:dyDescent="0.3">
      <c r="A55" s="27">
        <v>42502939</v>
      </c>
      <c r="B55" s="18" t="str">
        <f t="shared" si="0"/>
        <v>HUMEZ Grégoire</v>
      </c>
      <c r="C55" s="19" t="s">
        <v>117</v>
      </c>
      <c r="D55" s="19" t="s">
        <v>118</v>
      </c>
      <c r="E55" s="20" t="s">
        <v>93</v>
      </c>
      <c r="F55" s="20"/>
      <c r="G55" s="20" t="s">
        <v>76</v>
      </c>
      <c r="H55" s="20" t="s">
        <v>108</v>
      </c>
      <c r="I55" s="20">
        <v>3</v>
      </c>
      <c r="J55" s="20"/>
      <c r="K55" s="19"/>
      <c r="L55" s="19"/>
      <c r="M55" s="1"/>
    </row>
    <row r="56" spans="1:13" customFormat="1" ht="14.4" x14ac:dyDescent="0.3">
      <c r="A56" s="27">
        <v>42300103</v>
      </c>
      <c r="B56" s="18" t="str">
        <f t="shared" si="0"/>
        <v>JACQUÉ Mathieu</v>
      </c>
      <c r="C56" s="19" t="s">
        <v>119</v>
      </c>
      <c r="D56" s="19" t="s">
        <v>120</v>
      </c>
      <c r="E56" s="20" t="s">
        <v>25</v>
      </c>
      <c r="F56" s="20"/>
      <c r="G56" s="20" t="s">
        <v>76</v>
      </c>
      <c r="H56" s="20" t="s">
        <v>108</v>
      </c>
      <c r="I56" s="20">
        <v>3</v>
      </c>
      <c r="J56" s="20"/>
      <c r="K56" s="19"/>
      <c r="L56" s="19"/>
      <c r="M56" s="1"/>
    </row>
    <row r="57" spans="1:13" customFormat="1" ht="14.4" x14ac:dyDescent="0.3">
      <c r="A57" s="27">
        <v>42300123</v>
      </c>
      <c r="B57" s="18" t="str">
        <f t="shared" si="0"/>
        <v>JOURDAN Lois</v>
      </c>
      <c r="C57" s="19" t="s">
        <v>121</v>
      </c>
      <c r="D57" s="19" t="s">
        <v>122</v>
      </c>
      <c r="E57" s="20" t="s">
        <v>25</v>
      </c>
      <c r="F57" s="20"/>
      <c r="G57" s="20" t="s">
        <v>76</v>
      </c>
      <c r="H57" s="20" t="s">
        <v>108</v>
      </c>
      <c r="I57" s="20">
        <v>3</v>
      </c>
      <c r="J57" s="20"/>
      <c r="K57" s="19"/>
      <c r="L57" s="19"/>
      <c r="M57" s="1"/>
    </row>
    <row r="58" spans="1:13" customFormat="1" ht="14.4" x14ac:dyDescent="0.3">
      <c r="A58" s="27">
        <v>42400636</v>
      </c>
      <c r="B58" s="18" t="str">
        <f t="shared" si="0"/>
        <v>KARA Adam</v>
      </c>
      <c r="C58" s="19" t="s">
        <v>123</v>
      </c>
      <c r="D58" s="19" t="s">
        <v>22</v>
      </c>
      <c r="E58" s="20" t="s">
        <v>25</v>
      </c>
      <c r="F58" s="20"/>
      <c r="G58" s="20" t="s">
        <v>76</v>
      </c>
      <c r="H58" s="20" t="s">
        <v>108</v>
      </c>
      <c r="I58" s="20">
        <v>3</v>
      </c>
      <c r="J58" s="20"/>
      <c r="K58" s="19"/>
      <c r="L58" s="19"/>
      <c r="M58" s="1"/>
    </row>
    <row r="59" spans="1:13" customFormat="1" ht="14.4" x14ac:dyDescent="0.3">
      <c r="A59" s="27">
        <v>42501407</v>
      </c>
      <c r="B59" s="18" t="str">
        <f t="shared" si="0"/>
        <v>LACOURPAILLE Jules</v>
      </c>
      <c r="C59" s="19" t="s">
        <v>124</v>
      </c>
      <c r="D59" s="19" t="s">
        <v>90</v>
      </c>
      <c r="E59" s="20" t="s">
        <v>188</v>
      </c>
      <c r="F59" s="20"/>
      <c r="G59" s="20" t="s">
        <v>76</v>
      </c>
      <c r="H59" s="20" t="s">
        <v>108</v>
      </c>
      <c r="I59" s="20">
        <v>3</v>
      </c>
      <c r="J59" s="20"/>
      <c r="K59" s="19"/>
      <c r="L59" s="19"/>
      <c r="M59" s="1"/>
    </row>
    <row r="60" spans="1:13" customFormat="1" ht="14.4" x14ac:dyDescent="0.3">
      <c r="A60" s="27">
        <v>42503487</v>
      </c>
      <c r="B60" s="18" t="str">
        <f t="shared" si="0"/>
        <v>LAROCHE César</v>
      </c>
      <c r="C60" s="19" t="s">
        <v>125</v>
      </c>
      <c r="D60" s="19" t="s">
        <v>126</v>
      </c>
      <c r="E60" s="20" t="s">
        <v>188</v>
      </c>
      <c r="F60" s="20"/>
      <c r="G60" s="20" t="s">
        <v>76</v>
      </c>
      <c r="H60" s="20" t="s">
        <v>108</v>
      </c>
      <c r="I60" s="20">
        <v>3</v>
      </c>
      <c r="J60" s="20"/>
      <c r="K60" s="19"/>
      <c r="L60" s="19"/>
      <c r="M60" s="1"/>
    </row>
    <row r="61" spans="1:13" customFormat="1" ht="14.4" x14ac:dyDescent="0.3">
      <c r="A61" s="27">
        <v>42501912</v>
      </c>
      <c r="B61" s="18" t="str">
        <f t="shared" si="0"/>
        <v>LE CORNET Roméo</v>
      </c>
      <c r="C61" s="19" t="s">
        <v>127</v>
      </c>
      <c r="D61" s="19" t="s">
        <v>128</v>
      </c>
      <c r="E61" s="20" t="s">
        <v>188</v>
      </c>
      <c r="F61" s="22"/>
      <c r="G61" s="20" t="s">
        <v>76</v>
      </c>
      <c r="H61" s="20" t="s">
        <v>108</v>
      </c>
      <c r="I61" s="20">
        <v>3</v>
      </c>
      <c r="J61" s="20"/>
      <c r="K61" s="21"/>
      <c r="L61" s="21"/>
      <c r="M61" s="1"/>
    </row>
    <row r="62" spans="1:13" customFormat="1" ht="14.4" x14ac:dyDescent="0.3">
      <c r="A62" s="27">
        <v>42300111</v>
      </c>
      <c r="B62" s="18" t="str">
        <f t="shared" si="0"/>
        <v>LEAUTIER Alban</v>
      </c>
      <c r="C62" s="19" t="s">
        <v>129</v>
      </c>
      <c r="D62" s="19" t="s">
        <v>130</v>
      </c>
      <c r="E62" s="20" t="s">
        <v>25</v>
      </c>
      <c r="F62" s="20"/>
      <c r="G62" s="20" t="s">
        <v>76</v>
      </c>
      <c r="H62" s="20" t="s">
        <v>108</v>
      </c>
      <c r="I62" s="20">
        <v>3</v>
      </c>
      <c r="J62" s="20"/>
      <c r="K62" s="19"/>
      <c r="L62" s="19"/>
      <c r="M62" s="1"/>
    </row>
    <row r="63" spans="1:13" customFormat="1" ht="14.4" x14ac:dyDescent="0.3">
      <c r="A63" s="27">
        <v>42501914</v>
      </c>
      <c r="B63" s="18" t="str">
        <f t="shared" si="0"/>
        <v>LESAGE Maxime</v>
      </c>
      <c r="C63" s="19" t="s">
        <v>131</v>
      </c>
      <c r="D63" s="19" t="s">
        <v>69</v>
      </c>
      <c r="E63" s="20" t="s">
        <v>85</v>
      </c>
      <c r="F63" s="20"/>
      <c r="G63" s="20" t="s">
        <v>76</v>
      </c>
      <c r="H63" s="20" t="s">
        <v>108</v>
      </c>
      <c r="I63" s="20">
        <v>3</v>
      </c>
      <c r="J63" s="20"/>
      <c r="K63" s="19"/>
      <c r="L63" s="19"/>
      <c r="M63" s="1"/>
    </row>
    <row r="64" spans="1:13" customFormat="1" ht="14.4" x14ac:dyDescent="0.3">
      <c r="A64" s="27">
        <v>42501434</v>
      </c>
      <c r="B64" s="18" t="str">
        <f t="shared" si="0"/>
        <v>LESPOUR Quentin</v>
      </c>
      <c r="C64" s="19" t="s">
        <v>132</v>
      </c>
      <c r="D64" s="19" t="s">
        <v>56</v>
      </c>
      <c r="E64" s="20" t="s">
        <v>188</v>
      </c>
      <c r="F64" s="20"/>
      <c r="G64" s="20" t="s">
        <v>133</v>
      </c>
      <c r="H64" s="20" t="s">
        <v>134</v>
      </c>
      <c r="I64" s="20">
        <v>3</v>
      </c>
      <c r="J64" s="20"/>
      <c r="K64" s="19"/>
      <c r="L64" s="19"/>
      <c r="M64" s="1"/>
    </row>
    <row r="65" spans="1:13" customFormat="1" ht="14.4" x14ac:dyDescent="0.3">
      <c r="A65" s="27">
        <v>42503108</v>
      </c>
      <c r="B65" s="18" t="str">
        <f t="shared" si="0"/>
        <v>LOPEZ Julie</v>
      </c>
      <c r="C65" s="19" t="s">
        <v>135</v>
      </c>
      <c r="D65" s="19" t="s">
        <v>136</v>
      </c>
      <c r="E65" s="20" t="s">
        <v>93</v>
      </c>
      <c r="F65" s="20"/>
      <c r="G65" s="20" t="s">
        <v>133</v>
      </c>
      <c r="H65" s="20" t="s">
        <v>134</v>
      </c>
      <c r="I65" s="20">
        <v>3</v>
      </c>
      <c r="J65" s="20"/>
      <c r="K65" s="21"/>
      <c r="L65" s="19"/>
      <c r="M65" s="1"/>
    </row>
    <row r="66" spans="1:13" customFormat="1" ht="14.4" x14ac:dyDescent="0.3">
      <c r="A66" s="27">
        <v>42501269</v>
      </c>
      <c r="B66" s="18" t="str">
        <f t="shared" si="0"/>
        <v>LY Brian</v>
      </c>
      <c r="C66" s="19" t="s">
        <v>137</v>
      </c>
      <c r="D66" s="19" t="s">
        <v>138</v>
      </c>
      <c r="E66" s="20" t="s">
        <v>85</v>
      </c>
      <c r="F66" s="20" t="s">
        <v>50</v>
      </c>
      <c r="G66" s="20" t="s">
        <v>133</v>
      </c>
      <c r="H66" s="20" t="s">
        <v>134</v>
      </c>
      <c r="I66" s="20">
        <v>3</v>
      </c>
      <c r="J66" s="20"/>
      <c r="K66" s="19"/>
      <c r="L66" s="19"/>
      <c r="M66" s="1"/>
    </row>
    <row r="67" spans="1:13" customFormat="1" ht="14.4" x14ac:dyDescent="0.3">
      <c r="A67" s="31">
        <v>42400645</v>
      </c>
      <c r="B67" s="18" t="str">
        <f t="shared" si="0"/>
        <v>MAHAN Blesson Ange Duvall</v>
      </c>
      <c r="C67" s="23" t="s">
        <v>139</v>
      </c>
      <c r="D67" s="23" t="s">
        <v>140</v>
      </c>
      <c r="E67" s="22" t="s">
        <v>141</v>
      </c>
      <c r="F67" s="20"/>
      <c r="G67" s="20" t="s">
        <v>133</v>
      </c>
      <c r="H67" s="20" t="s">
        <v>134</v>
      </c>
      <c r="I67" s="20">
        <v>3</v>
      </c>
      <c r="J67" s="20"/>
      <c r="K67" s="19"/>
      <c r="L67" s="19"/>
      <c r="M67" s="1"/>
    </row>
    <row r="68" spans="1:13" customFormat="1" ht="14.4" x14ac:dyDescent="0.3">
      <c r="A68" s="27">
        <v>42503331</v>
      </c>
      <c r="B68" s="18" t="str">
        <f t="shared" si="0"/>
        <v>MAHJOUB Nour</v>
      </c>
      <c r="C68" s="19" t="s">
        <v>142</v>
      </c>
      <c r="D68" s="19" t="s">
        <v>143</v>
      </c>
      <c r="E68" s="20" t="s">
        <v>93</v>
      </c>
      <c r="F68" s="20"/>
      <c r="G68" s="20" t="s">
        <v>133</v>
      </c>
      <c r="H68" s="20" t="s">
        <v>134</v>
      </c>
      <c r="I68" s="20">
        <v>3</v>
      </c>
      <c r="J68" s="20"/>
      <c r="K68" s="19"/>
      <c r="L68" s="19"/>
      <c r="M68" s="1"/>
    </row>
    <row r="69" spans="1:13" customFormat="1" ht="14.4" x14ac:dyDescent="0.3">
      <c r="A69" s="27">
        <v>42300256</v>
      </c>
      <c r="B69" s="18" t="str">
        <f t="shared" si="0"/>
        <v>MILLER-CELESTE Robin</v>
      </c>
      <c r="C69" s="19" t="s">
        <v>144</v>
      </c>
      <c r="D69" s="19" t="s">
        <v>54</v>
      </c>
      <c r="E69" s="20" t="s">
        <v>25</v>
      </c>
      <c r="F69" s="20"/>
      <c r="G69" s="20" t="s">
        <v>133</v>
      </c>
      <c r="H69" s="20" t="s">
        <v>134</v>
      </c>
      <c r="I69" s="20">
        <v>3</v>
      </c>
      <c r="J69" s="20"/>
      <c r="K69" s="19"/>
      <c r="L69" s="19"/>
      <c r="M69" s="1"/>
    </row>
    <row r="70" spans="1:13" customFormat="1" ht="14.4" x14ac:dyDescent="0.3">
      <c r="A70" s="27">
        <v>42300172</v>
      </c>
      <c r="B70" s="18" t="str">
        <f t="shared" ref="B70:B91" si="1">C70&amp;" "&amp;D70</f>
        <v>MOURÉ Hugo</v>
      </c>
      <c r="C70" s="19" t="s">
        <v>145</v>
      </c>
      <c r="D70" s="19" t="s">
        <v>44</v>
      </c>
      <c r="E70" s="20" t="s">
        <v>25</v>
      </c>
      <c r="F70" s="20"/>
      <c r="G70" s="20" t="s">
        <v>133</v>
      </c>
      <c r="H70" s="20" t="s">
        <v>134</v>
      </c>
      <c r="I70" s="20">
        <v>3</v>
      </c>
      <c r="J70" s="20"/>
      <c r="K70" s="19"/>
      <c r="L70" s="19"/>
      <c r="M70" s="1"/>
    </row>
    <row r="71" spans="1:13" customFormat="1" ht="14.4" x14ac:dyDescent="0.3">
      <c r="A71" s="27">
        <v>42501462</v>
      </c>
      <c r="B71" s="18" t="str">
        <f t="shared" si="1"/>
        <v>MOUSSET Mathieu</v>
      </c>
      <c r="C71" s="19" t="s">
        <v>146</v>
      </c>
      <c r="D71" s="19" t="s">
        <v>120</v>
      </c>
      <c r="E71" s="20" t="s">
        <v>85</v>
      </c>
      <c r="F71" s="20"/>
      <c r="G71" s="20" t="s">
        <v>133</v>
      </c>
      <c r="H71" s="20" t="s">
        <v>134</v>
      </c>
      <c r="I71" s="20">
        <v>4</v>
      </c>
      <c r="J71" s="20"/>
      <c r="K71" s="19"/>
      <c r="L71" s="19"/>
      <c r="M71" s="1"/>
    </row>
    <row r="72" spans="1:13" customFormat="1" ht="14.4" x14ac:dyDescent="0.3">
      <c r="A72" s="27">
        <v>42501331</v>
      </c>
      <c r="B72" s="18" t="str">
        <f t="shared" si="1"/>
        <v>MOYROUD Auriane</v>
      </c>
      <c r="C72" s="19" t="s">
        <v>147</v>
      </c>
      <c r="D72" s="19" t="s">
        <v>148</v>
      </c>
      <c r="E72" s="20" t="s">
        <v>188</v>
      </c>
      <c r="F72" s="20"/>
      <c r="G72" s="20" t="s">
        <v>133</v>
      </c>
      <c r="H72" s="20" t="s">
        <v>134</v>
      </c>
      <c r="I72" s="20">
        <v>4</v>
      </c>
      <c r="J72" s="20"/>
      <c r="K72" s="19"/>
      <c r="L72" s="19"/>
      <c r="M72" s="1"/>
    </row>
    <row r="73" spans="1:13" customFormat="1" ht="14.4" x14ac:dyDescent="0.3">
      <c r="A73" s="28">
        <v>42501436</v>
      </c>
      <c r="B73" s="18" t="str">
        <f t="shared" si="1"/>
        <v>MSALLEM Abdel-Heidi</v>
      </c>
      <c r="C73" s="19" t="s">
        <v>149</v>
      </c>
      <c r="D73" s="19" t="s">
        <v>150</v>
      </c>
      <c r="E73" s="20" t="s">
        <v>93</v>
      </c>
      <c r="F73" s="20"/>
      <c r="G73" s="20" t="s">
        <v>133</v>
      </c>
      <c r="H73" s="20" t="s">
        <v>134</v>
      </c>
      <c r="I73" s="20">
        <v>4</v>
      </c>
      <c r="J73" s="20"/>
      <c r="K73" s="19"/>
      <c r="L73" s="19"/>
      <c r="M73" s="1"/>
    </row>
    <row r="74" spans="1:13" customFormat="1" ht="14.4" x14ac:dyDescent="0.3">
      <c r="A74" s="31">
        <v>42401705</v>
      </c>
      <c r="B74" s="18" t="str">
        <f t="shared" si="1"/>
        <v>NADI Ahmedou</v>
      </c>
      <c r="C74" s="23" t="s">
        <v>151</v>
      </c>
      <c r="D74" s="23" t="s">
        <v>152</v>
      </c>
      <c r="E74" s="22" t="s">
        <v>85</v>
      </c>
      <c r="F74" s="20"/>
      <c r="G74" s="20" t="s">
        <v>133</v>
      </c>
      <c r="H74" s="20" t="s">
        <v>134</v>
      </c>
      <c r="I74" s="20">
        <v>4</v>
      </c>
      <c r="J74" s="20"/>
      <c r="K74" s="19"/>
      <c r="L74" s="19"/>
      <c r="M74" s="1"/>
    </row>
    <row r="75" spans="1:13" customFormat="1" ht="14.4" x14ac:dyDescent="0.3">
      <c r="A75" s="27">
        <v>42302487</v>
      </c>
      <c r="B75" s="18" t="str">
        <f t="shared" si="1"/>
        <v>NOWAK--LASSIMOULIE Clément</v>
      </c>
      <c r="C75" s="19" t="s">
        <v>153</v>
      </c>
      <c r="D75" s="19" t="s">
        <v>71</v>
      </c>
      <c r="E75" s="20" t="s">
        <v>25</v>
      </c>
      <c r="F75" s="20"/>
      <c r="G75" s="20" t="s">
        <v>133</v>
      </c>
      <c r="H75" s="20" t="s">
        <v>134</v>
      </c>
      <c r="I75" s="20">
        <v>4</v>
      </c>
      <c r="J75" s="20"/>
      <c r="K75" s="19"/>
      <c r="L75" s="19"/>
      <c r="M75" s="1"/>
    </row>
    <row r="76" spans="1:13" customFormat="1" ht="14.4" x14ac:dyDescent="0.3">
      <c r="A76" s="27">
        <v>42300401</v>
      </c>
      <c r="B76" s="18" t="str">
        <f t="shared" si="1"/>
        <v>PANNETIER Nathan</v>
      </c>
      <c r="C76" s="19" t="s">
        <v>154</v>
      </c>
      <c r="D76" s="19" t="s">
        <v>155</v>
      </c>
      <c r="E76" s="20" t="s">
        <v>25</v>
      </c>
      <c r="F76" s="20"/>
      <c r="G76" s="20" t="s">
        <v>133</v>
      </c>
      <c r="H76" s="20" t="s">
        <v>134</v>
      </c>
      <c r="I76" s="20">
        <v>4</v>
      </c>
      <c r="J76" s="20"/>
      <c r="K76" s="19"/>
      <c r="L76" s="19"/>
      <c r="M76" s="1"/>
    </row>
    <row r="77" spans="1:13" customFormat="1" ht="14.4" x14ac:dyDescent="0.3">
      <c r="A77" s="27">
        <v>42503037</v>
      </c>
      <c r="B77" s="18" t="str">
        <f t="shared" si="1"/>
        <v>PATOUX Alexandre</v>
      </c>
      <c r="C77" s="19" t="s">
        <v>156</v>
      </c>
      <c r="D77" s="19" t="s">
        <v>75</v>
      </c>
      <c r="E77" s="20" t="s">
        <v>166</v>
      </c>
      <c r="F77" s="20"/>
      <c r="G77" s="20" t="s">
        <v>133</v>
      </c>
      <c r="H77" s="20" t="s">
        <v>157</v>
      </c>
      <c r="I77" s="20">
        <v>4</v>
      </c>
      <c r="J77" s="20"/>
      <c r="K77" s="19"/>
      <c r="L77" s="19"/>
      <c r="M77" s="1"/>
    </row>
    <row r="78" spans="1:13" customFormat="1" ht="14.4" x14ac:dyDescent="0.3">
      <c r="A78" s="27">
        <v>42502133</v>
      </c>
      <c r="B78" s="18" t="str">
        <f t="shared" si="1"/>
        <v>PIERRE Elliot</v>
      </c>
      <c r="C78" s="19" t="s">
        <v>158</v>
      </c>
      <c r="D78" s="19" t="s">
        <v>159</v>
      </c>
      <c r="E78" s="20" t="s">
        <v>187</v>
      </c>
      <c r="F78" s="20"/>
      <c r="G78" s="20" t="s">
        <v>133</v>
      </c>
      <c r="H78" s="20" t="s">
        <v>157</v>
      </c>
      <c r="I78" s="20">
        <v>4</v>
      </c>
      <c r="J78" s="20"/>
      <c r="K78" s="19"/>
      <c r="L78" s="19"/>
      <c r="M78" s="1"/>
    </row>
    <row r="79" spans="1:13" customFormat="1" ht="14.4" x14ac:dyDescent="0.3">
      <c r="A79" s="28">
        <v>42502713</v>
      </c>
      <c r="B79" s="18" t="str">
        <f t="shared" si="1"/>
        <v>QADRI Hafsa</v>
      </c>
      <c r="C79" s="19" t="s">
        <v>160</v>
      </c>
      <c r="D79" s="19" t="s">
        <v>161</v>
      </c>
      <c r="E79" s="20" t="s">
        <v>85</v>
      </c>
      <c r="F79" s="22"/>
      <c r="G79" s="20" t="s">
        <v>133</v>
      </c>
      <c r="H79" s="20" t="s">
        <v>157</v>
      </c>
      <c r="I79" s="20">
        <v>4</v>
      </c>
      <c r="J79" s="20"/>
      <c r="K79" s="21"/>
      <c r="L79" s="21"/>
      <c r="M79" s="1"/>
    </row>
    <row r="80" spans="1:13" customFormat="1" ht="14.4" x14ac:dyDescent="0.3">
      <c r="A80" s="27">
        <v>42503481</v>
      </c>
      <c r="B80" s="18" t="str">
        <f t="shared" si="1"/>
        <v>QUENIN Bastien</v>
      </c>
      <c r="C80" s="19" t="s">
        <v>162</v>
      </c>
      <c r="D80" s="19" t="s">
        <v>163</v>
      </c>
      <c r="E80" s="20" t="s">
        <v>93</v>
      </c>
      <c r="F80" s="20"/>
      <c r="G80" s="20" t="s">
        <v>133</v>
      </c>
      <c r="H80" s="20" t="s">
        <v>157</v>
      </c>
      <c r="I80" s="20">
        <v>4</v>
      </c>
      <c r="J80" s="20"/>
      <c r="K80" s="19"/>
      <c r="L80" s="19"/>
      <c r="M80" s="1"/>
    </row>
    <row r="81" spans="1:13" customFormat="1" ht="14.4" x14ac:dyDescent="0.3">
      <c r="A81" s="31">
        <v>42402377</v>
      </c>
      <c r="B81" s="18" t="str">
        <f t="shared" si="1"/>
        <v>ROCHE Thibault</v>
      </c>
      <c r="C81" s="23" t="s">
        <v>164</v>
      </c>
      <c r="D81" s="23" t="s">
        <v>165</v>
      </c>
      <c r="E81" s="22" t="s">
        <v>166</v>
      </c>
      <c r="F81" s="20"/>
      <c r="G81" s="20" t="s">
        <v>133</v>
      </c>
      <c r="H81" s="20" t="s">
        <v>157</v>
      </c>
      <c r="I81" s="20">
        <v>4</v>
      </c>
      <c r="J81" s="20"/>
      <c r="K81" s="19"/>
      <c r="L81" s="19"/>
      <c r="M81" s="1"/>
    </row>
    <row r="82" spans="1:13" customFormat="1" ht="14.4" x14ac:dyDescent="0.3">
      <c r="A82" s="27">
        <v>42300286</v>
      </c>
      <c r="B82" s="18" t="str">
        <f t="shared" si="1"/>
        <v>ROUJOL Mathis</v>
      </c>
      <c r="C82" s="19" t="s">
        <v>167</v>
      </c>
      <c r="D82" s="19" t="s">
        <v>168</v>
      </c>
      <c r="E82" s="20" t="s">
        <v>25</v>
      </c>
      <c r="F82" s="20"/>
      <c r="G82" s="20" t="s">
        <v>133</v>
      </c>
      <c r="H82" s="20" t="s">
        <v>157</v>
      </c>
      <c r="I82" s="20">
        <v>4</v>
      </c>
      <c r="J82" s="20"/>
      <c r="K82" s="19"/>
      <c r="L82" s="19"/>
      <c r="M82" s="1"/>
    </row>
    <row r="83" spans="1:13" customFormat="1" ht="14.4" x14ac:dyDescent="0.3">
      <c r="A83" s="27">
        <v>42502447</v>
      </c>
      <c r="B83" s="18" t="str">
        <f t="shared" si="1"/>
        <v>SANCHEZ Adrien</v>
      </c>
      <c r="C83" s="19" t="s">
        <v>169</v>
      </c>
      <c r="D83" s="19" t="s">
        <v>170</v>
      </c>
      <c r="E83" s="20" t="s">
        <v>187</v>
      </c>
      <c r="F83" s="22"/>
      <c r="G83" s="20" t="s">
        <v>133</v>
      </c>
      <c r="H83" s="20" t="s">
        <v>157</v>
      </c>
      <c r="I83" s="20">
        <v>4</v>
      </c>
      <c r="J83" s="20"/>
      <c r="K83" s="21"/>
      <c r="L83" s="21"/>
      <c r="M83" s="1"/>
    </row>
    <row r="84" spans="1:13" customFormat="1" ht="14.4" x14ac:dyDescent="0.3">
      <c r="A84" s="27">
        <v>42502051</v>
      </c>
      <c r="B84" s="18" t="str">
        <f t="shared" si="1"/>
        <v>SEILLER Andrea</v>
      </c>
      <c r="C84" s="19" t="s">
        <v>171</v>
      </c>
      <c r="D84" s="19" t="s">
        <v>172</v>
      </c>
      <c r="E84" s="20" t="s">
        <v>187</v>
      </c>
      <c r="F84" s="20"/>
      <c r="G84" s="20" t="s">
        <v>133</v>
      </c>
      <c r="H84" s="20" t="s">
        <v>157</v>
      </c>
      <c r="I84" s="20">
        <v>4</v>
      </c>
      <c r="J84" s="20"/>
      <c r="K84" s="19"/>
      <c r="L84" s="19"/>
      <c r="M84" s="1"/>
    </row>
    <row r="85" spans="1:13" customFormat="1" ht="14.4" x14ac:dyDescent="0.3">
      <c r="A85" s="31">
        <v>42402868</v>
      </c>
      <c r="B85" s="18" t="str">
        <f t="shared" si="1"/>
        <v>TAKOUNE Ali</v>
      </c>
      <c r="C85" s="23" t="s">
        <v>173</v>
      </c>
      <c r="D85" s="23" t="s">
        <v>174</v>
      </c>
      <c r="E85" s="22" t="s">
        <v>93</v>
      </c>
      <c r="F85" s="20"/>
      <c r="G85" s="20" t="s">
        <v>133</v>
      </c>
      <c r="H85" s="20" t="s">
        <v>157</v>
      </c>
      <c r="I85" s="20">
        <v>4</v>
      </c>
      <c r="J85" s="20"/>
      <c r="K85" s="19"/>
      <c r="L85" s="19"/>
      <c r="M85" s="1"/>
    </row>
    <row r="86" spans="1:13" customFormat="1" ht="14.4" x14ac:dyDescent="0.3">
      <c r="A86" s="27">
        <v>42300261</v>
      </c>
      <c r="B86" s="18" t="str">
        <f t="shared" si="1"/>
        <v>TILET Léo</v>
      </c>
      <c r="C86" s="19" t="s">
        <v>175</v>
      </c>
      <c r="D86" s="19" t="s">
        <v>176</v>
      </c>
      <c r="E86" s="20" t="s">
        <v>25</v>
      </c>
      <c r="F86" s="20"/>
      <c r="G86" s="20" t="s">
        <v>133</v>
      </c>
      <c r="H86" s="20" t="s">
        <v>157</v>
      </c>
      <c r="I86" s="20">
        <v>4</v>
      </c>
      <c r="J86" s="20"/>
      <c r="K86" s="19"/>
      <c r="L86" s="19"/>
      <c r="M86" s="1"/>
    </row>
    <row r="87" spans="1:13" customFormat="1" ht="14.4" x14ac:dyDescent="0.3">
      <c r="A87" s="27">
        <v>42200183</v>
      </c>
      <c r="B87" s="18" t="str">
        <f t="shared" si="1"/>
        <v>TOURCHI Anas</v>
      </c>
      <c r="C87" s="19" t="s">
        <v>177</v>
      </c>
      <c r="D87" s="19" t="s">
        <v>178</v>
      </c>
      <c r="E87" s="20" t="s">
        <v>25</v>
      </c>
      <c r="F87" s="20"/>
      <c r="G87" s="20" t="s">
        <v>133</v>
      </c>
      <c r="H87" s="20" t="s">
        <v>157</v>
      </c>
      <c r="I87" s="20">
        <v>4</v>
      </c>
      <c r="J87" s="20"/>
      <c r="K87" s="19"/>
      <c r="L87" s="19"/>
      <c r="M87" s="1"/>
    </row>
    <row r="88" spans="1:13" customFormat="1" ht="14.4" x14ac:dyDescent="0.3">
      <c r="A88" s="27">
        <v>42300137</v>
      </c>
      <c r="B88" s="18" t="str">
        <f t="shared" si="1"/>
        <v>VERNAULT-VIVAS Hugo</v>
      </c>
      <c r="C88" s="19" t="s">
        <v>179</v>
      </c>
      <c r="D88" s="19" t="s">
        <v>44</v>
      </c>
      <c r="E88" s="20" t="s">
        <v>25</v>
      </c>
      <c r="F88" s="20"/>
      <c r="G88" s="20" t="s">
        <v>133</v>
      </c>
      <c r="H88" s="20" t="s">
        <v>157</v>
      </c>
      <c r="I88" s="20">
        <v>4</v>
      </c>
      <c r="J88" s="20"/>
      <c r="K88" s="19"/>
      <c r="L88" s="19"/>
      <c r="M88" s="1"/>
    </row>
    <row r="89" spans="1:13" customFormat="1" ht="14.4" x14ac:dyDescent="0.3">
      <c r="A89" s="27">
        <v>42300108</v>
      </c>
      <c r="B89" s="18" t="str">
        <f t="shared" si="1"/>
        <v>VOINET Victor</v>
      </c>
      <c r="C89" s="19" t="s">
        <v>180</v>
      </c>
      <c r="D89" s="19" t="s">
        <v>181</v>
      </c>
      <c r="E89" s="20" t="s">
        <v>25</v>
      </c>
      <c r="F89" s="20"/>
      <c r="G89" s="20" t="s">
        <v>133</v>
      </c>
      <c r="H89" s="20" t="s">
        <v>134</v>
      </c>
      <c r="I89" s="20">
        <v>4</v>
      </c>
      <c r="J89" s="20"/>
      <c r="K89" s="19"/>
      <c r="L89" s="19"/>
      <c r="M89" s="1"/>
    </row>
    <row r="90" spans="1:13" customFormat="1" ht="14.4" x14ac:dyDescent="0.3">
      <c r="A90" s="27">
        <v>42502866</v>
      </c>
      <c r="B90" s="18" t="str">
        <f t="shared" si="1"/>
        <v>WAZZEH Dalal</v>
      </c>
      <c r="C90" s="19" t="s">
        <v>182</v>
      </c>
      <c r="D90" s="19" t="s">
        <v>183</v>
      </c>
      <c r="E90" s="20" t="s">
        <v>188</v>
      </c>
      <c r="F90" s="20"/>
      <c r="G90" s="20" t="s">
        <v>133</v>
      </c>
      <c r="H90" s="20" t="s">
        <v>157</v>
      </c>
      <c r="I90" s="20">
        <v>4</v>
      </c>
      <c r="J90" s="20"/>
      <c r="K90" s="19"/>
      <c r="L90" s="19"/>
      <c r="M90" s="1"/>
    </row>
    <row r="91" spans="1:13" customFormat="1" ht="14.4" x14ac:dyDescent="0.3">
      <c r="A91" s="27">
        <v>42503364</v>
      </c>
      <c r="B91" s="18" t="str">
        <f t="shared" si="1"/>
        <v>ZOUNOUTI Abdelkrim</v>
      </c>
      <c r="C91" s="19" t="s">
        <v>184</v>
      </c>
      <c r="D91" s="19" t="s">
        <v>185</v>
      </c>
      <c r="E91" s="20" t="s">
        <v>186</v>
      </c>
      <c r="F91" s="20"/>
      <c r="G91" s="20" t="s">
        <v>133</v>
      </c>
      <c r="H91" s="20" t="s">
        <v>157</v>
      </c>
      <c r="I91" s="20">
        <v>4</v>
      </c>
      <c r="J91" s="20"/>
      <c r="K91" s="19"/>
      <c r="L91" s="19"/>
      <c r="M91" s="1"/>
    </row>
    <row r="92" spans="1:13" x14ac:dyDescent="0.3">
      <c r="B92" s="24"/>
      <c r="G92" s="1"/>
      <c r="H92" s="1"/>
      <c r="I92" s="1"/>
      <c r="J92" s="1"/>
      <c r="K92" s="32"/>
    </row>
    <row r="93" spans="1:13" x14ac:dyDescent="0.3">
      <c r="M93"/>
    </row>
    <row r="95" spans="1:13" x14ac:dyDescent="0.3">
      <c r="M95"/>
    </row>
    <row r="97" spans="13:13" x14ac:dyDescent="0.3">
      <c r="M97"/>
    </row>
  </sheetData>
  <autoFilter ref="A5:L92" xr:uid="{00000000-0009-0000-0000-000000000000}"/>
  <dataConsolidate/>
  <mergeCells count="1">
    <mergeCell ref="A1:L1"/>
  </mergeCells>
  <pageMargins left="0.35" right="0.16" top="0.18" bottom="0.19" header="0.4921259845" footer="0.4921259845"/>
  <pageSetup paperSize="9" scale="4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3A</vt:lpstr>
      <vt:lpstr>'3A'!Zone_d_impression</vt:lpstr>
    </vt:vector>
  </TitlesOfParts>
  <Company>Grenoble INP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BOULANGER Marine</dc:creator>
  <cp:lastModifiedBy>ALLANE Dahmane (allaned)</cp:lastModifiedBy>
  <cp:lastPrinted>2025-10-09T11:33:42Z</cp:lastPrinted>
  <dcterms:created xsi:type="dcterms:W3CDTF">2025-09-23T13:53:55Z</dcterms:created>
  <dcterms:modified xsi:type="dcterms:W3CDTF">2026-02-09T13:39:12Z</dcterms:modified>
</cp:coreProperties>
</file>